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firstSheet="3" activeTab="5"/>
  </bookViews>
  <sheets>
    <sheet name="2025_Monthly_Sales_Trend" sheetId="1" r:id="rId1"/>
    <sheet name="Sales Trend by Year" sheetId="2" r:id="rId2"/>
    <sheet name="Sales_Analysis" sheetId="3" r:id="rId3"/>
    <sheet name="latest_growth_analysis" sheetId="5" r:id="rId4"/>
    <sheet name="Volume" sheetId="8" r:id="rId5"/>
    <sheet name="dashboard" sheetId="11" r:id="rId6"/>
  </sheets>
  <definedNames>
    <definedName name="ExternalData_1" localSheetId="0">'2025_Monthly_Sales_Trend'!$A$3:$E$39</definedName>
    <definedName name="ExternalData_1" localSheetId="1">'Sales Trend by Year'!$A$3:$D$30</definedName>
    <definedName name="ExternalData_1" localSheetId="2">Sales_Analysis!$A$4:$F$7</definedName>
    <definedName name="ExternalData_1" localSheetId="3">latest_growth_analysis!$A$4:$D$7</definedName>
    <definedName name="ExternalData_1" localSheetId="4">Volume!$A$3:$G$309</definedName>
    <definedName name="_xlnm.Print_Area" localSheetId="5">dashboard!$A$1:$G$71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alice</author>
  </authors>
  <commentList>
    <comment ref="G3" authorId="0">
      <text>
        <r>
          <rPr>
            <b/>
            <sz val="9"/>
            <rFont val="Times New Roman"/>
            <charset val="0"/>
          </rPr>
          <t>alice:</t>
        </r>
        <r>
          <rPr>
            <sz val="9"/>
            <rFont val="Times New Roman"/>
            <charset val="0"/>
          </rPr>
          <t xml:space="preserve">
SA = Seasonally Adjusted. Volume indices use 2015 as the base year (2015=100)</t>
        </r>
      </text>
    </comment>
  </commentList>
</comments>
</file>

<file path=xl/connections.xml><?xml version="1.0" encoding="utf-8"?>
<connections xmlns="http://schemas.openxmlformats.org/spreadsheetml/2006/main">
  <connection id="1" name="_2025_Monthly_Sales_Trend" type="6" background="1" refreshedVersion="2" saveData="1">
    <textPr sourceFile="C:\桌面\wholesale_retail_malaysia\excel\_2025_Monthly_Sales_Trend.csv" comma="1">
      <textFields>
        <textField/>
      </textFields>
    </textPr>
  </connection>
  <connection id="2" name="_Annual_Sales_Trend" type="6" background="1" refreshedVersion="2" saveData="1">
    <textPr sourceFile="C:\桌面\wholesale_retail_malaysia\excel\_Annual_Sales_Trend.csv" comma="1">
      <textFields>
        <textField/>
      </textFields>
    </textPr>
  </connection>
  <connection id="3" name="_Division_Performance" type="6" background="1" refreshedVersion="2" saveData="1">
    <textPr sourceFile="C:\桌面\wholesale_retail_malaysia\excel\_Division_Performance.csv" comma="1">
      <textFields>
        <textField/>
      </textFields>
    </textPr>
  </connection>
  <connection id="4" name="Latest mom Sales Growth" type="6" background="1" refreshedVersion="2" saveData="1">
    <textPr sourceFile="C:\桌面\wholesale_retail_malaysia\excel\Latest mom Sales Growth.csv" comma="1">
      <textFields>
        <textField/>
      </textFields>
    </textPr>
  </connection>
  <connection id="5" name="Volume vs Sales" type="6" background="1" refreshedVersion="2" saveData="1">
    <textPr sourceFile="C:\桌面\wholesale_retail_malaysia\excel\Volume vs Sales.csv" comma="1">
      <textFields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<sst xmlns="http://schemas.openxmlformats.org/spreadsheetml/2006/main" count="120" uniqueCount="63">
  <si>
    <t>2025_Monthly_Sales_Trend</t>
  </si>
  <si>
    <t>month</t>
  </si>
  <si>
    <t>month_name</t>
  </si>
  <si>
    <t>division</t>
  </si>
  <si>
    <t>division_name</t>
  </si>
  <si>
    <t>monthly_sales(RM millions)</t>
  </si>
  <si>
    <t>Sum of monthly_sales(RM millions)</t>
  </si>
  <si>
    <t>Motor Vehicles &amp; Motorcycles</t>
  </si>
  <si>
    <t>Retail Trade</t>
  </si>
  <si>
    <t>Wholesale Trade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</si>
  <si>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</si>
  <si>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</si>
  <si>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</si>
  <si>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</si>
  <si>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</si>
  <si>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</si>
  <si>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</si>
  <si>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</si>
  <si>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</si>
  <si>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</si>
  <si>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</si>
  <si>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</si>
  <si>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</si>
  <si>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Trend by Year (2018–Jun 2026)</t>
  </si>
  <si>
    <t>year</t>
  </si>
  <si>
    <t>total_sales(RM millions)</t>
  </si>
  <si>
    <t>Sum of total_sales(RM millions)</t>
  </si>
  <si>
    <t>Sales_Analysis</t>
  </si>
  <si>
    <t>Division_Performance</t>
  </si>
  <si>
    <t>avg_sales(RM millions)</t>
  </si>
  <si>
    <t>min_sales(RM millions)</t>
  </si>
  <si>
    <t>max_sales(RM millions)</t>
  </si>
  <si>
    <t>2025 Sales_Contribution_by_Division</t>
  </si>
  <si>
    <t>sales_contribution_pct</t>
  </si>
  <si>
    <t>Average of sales_contribution_pct</t>
  </si>
  <si>
    <t>latest_growth_analysis</t>
  </si>
  <si>
    <t>Latest mom Sales Growth</t>
  </si>
  <si>
    <t>date</t>
  </si>
  <si>
    <t>latest_mom_sales_growth</t>
  </si>
  <si>
    <t>Latest YoY Sales Growth</t>
  </si>
  <si>
    <t>latest_yoy_sales_growth</t>
  </si>
  <si>
    <t xml:space="preserve">Volume </t>
  </si>
  <si>
    <t>f.date</t>
  </si>
  <si>
    <t>sales(RM millions)</t>
  </si>
  <si>
    <t>volume_index(2015=100)</t>
  </si>
  <si>
    <t>volume_index_sa(2015=100)</t>
  </si>
  <si>
    <t>Average of volume_index_sa(2015=100)</t>
  </si>
  <si>
    <t>Malaysia Wholesale &amp; Retail Trade Analysis</t>
  </si>
  <si>
    <t xml:space="preserve"> 2026 includes data through June only.</t>
  </si>
  <si>
    <t>Latest Sales Growth — June 2026</t>
  </si>
  <si>
    <t>Division</t>
  </si>
  <si>
    <t>mom sales growth</t>
  </si>
  <si>
    <t>yoy sales growth</t>
  </si>
  <si>
    <t>2025 Monthly Sales Trend</t>
  </si>
  <si>
    <t>2025 Sales Contribution by Division (RM millions)</t>
  </si>
  <si>
    <t>2025 Division Total Sales</t>
  </si>
  <si>
    <t>Total Sales(RM millions)</t>
  </si>
  <si>
    <t>Volume Index Trend by Division  2018 – Jun 2026</t>
  </si>
  <si>
    <t>Note: Volume Index uses 2015 as the base year (2015=100).</t>
  </si>
  <si>
    <t>Division Performance (RM million) 2018–Jun 2026</t>
  </si>
  <si>
    <t>Avg Sales</t>
  </si>
  <si>
    <t>Min Sales</t>
  </si>
  <si>
    <t>Max 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</si>
</sst>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MYR]\ #,##0.00;[$MYR]\ \-#,##0.00"/>
    <numFmt numFmtId="177" formatCode="mmm\-yy"/>
  </numFmts>
  <fonts count="28">
    <font>
      <sz val="11"/>
      <color theme="1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ck">
        <color rgb="FFFFC000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/>
      <right style="thick">
        <color rgb="FFFFC000"/>
      </right>
      <top style="medium">
        <color rgb="FFFFC000"/>
      </top>
      <bottom/>
      <diagonal/>
    </border>
    <border>
      <left style="thick">
        <color rgb="FFFFC000"/>
      </left>
      <right/>
      <top/>
      <bottom/>
      <diagonal/>
    </border>
    <border>
      <left/>
      <right style="thick">
        <color rgb="FFFFC000"/>
      </right>
      <top/>
      <bottom/>
      <diagonal/>
    </border>
    <border>
      <left style="thick">
        <color rgb="FFFFC000"/>
      </left>
      <right/>
      <top style="thick">
        <color rgb="FFFFC000"/>
      </top>
      <bottom style="thick">
        <color rgb="FFFFC000"/>
      </bottom>
      <diagonal/>
    </border>
    <border>
      <left/>
      <right/>
      <top style="thick">
        <color rgb="FFFFC000"/>
      </top>
      <bottom style="thick">
        <color rgb="FFFFC000"/>
      </bottom>
      <diagonal/>
    </border>
    <border>
      <left/>
      <right style="thick">
        <color rgb="FFFFC000"/>
      </right>
      <top style="thick">
        <color rgb="FFFFC000"/>
      </top>
      <bottom style="thick">
        <color rgb="FFFFC000"/>
      </bottom>
      <diagonal/>
    </border>
    <border>
      <left style="thick">
        <color rgb="FFFFC000"/>
      </left>
      <right/>
      <top/>
      <bottom style="thick">
        <color rgb="FFFFC000"/>
      </bottom>
      <diagonal/>
    </border>
    <border>
      <left/>
      <right/>
      <top/>
      <bottom style="thick">
        <color rgb="FFFFC000"/>
      </bottom>
      <diagonal/>
    </border>
    <border>
      <left/>
      <right style="thick">
        <color rgb="FFFFC000"/>
      </right>
      <top/>
      <bottom style="thick">
        <color rgb="FFFFC000"/>
      </bottom>
      <diagonal/>
    </border>
    <border>
      <left style="thick">
        <color rgb="FFFFC000"/>
      </left>
      <right/>
      <top/>
      <bottom style="medium">
        <color rgb="FFFFC000"/>
      </bottom>
      <diagonal/>
    </border>
    <border>
      <left/>
      <right/>
      <top/>
      <bottom style="medium">
        <color rgb="FFFFC000"/>
      </bottom>
      <diagonal/>
    </border>
    <border>
      <left/>
      <right style="thick">
        <color rgb="FFFFC000"/>
      </right>
      <top/>
      <bottom style="medium">
        <color rgb="FFFFC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9" applyNumberFormat="0" applyAlignment="0" applyProtection="0">
      <alignment vertical="center"/>
    </xf>
    <xf numFmtId="0" fontId="16" fillId="6" borderId="20" applyNumberFormat="0" applyAlignment="0" applyProtection="0">
      <alignment vertical="center"/>
    </xf>
    <xf numFmtId="0" fontId="17" fillId="6" borderId="19" applyNumberFormat="0" applyAlignment="0" applyProtection="0">
      <alignment vertical="center"/>
    </xf>
    <xf numFmtId="0" fontId="18" fillId="7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3" borderId="4" xfId="0" applyFill="1" applyBorder="1">
      <alignment vertical="center"/>
    </xf>
    <xf numFmtId="0" fontId="0" fillId="3" borderId="0" xfId="0" applyFill="1">
      <alignment vertical="center"/>
    </xf>
    <xf numFmtId="0" fontId="0" fillId="3" borderId="5" xfId="0" applyFill="1" applyBorder="1">
      <alignment vertical="center"/>
    </xf>
    <xf numFmtId="4" fontId="0" fillId="3" borderId="4" xfId="0" applyNumberFormat="1" applyFill="1" applyBorder="1">
      <alignment vertical="center"/>
    </xf>
    <xf numFmtId="4" fontId="0" fillId="3" borderId="0" xfId="0" applyNumberFormat="1" applyFill="1" applyBorder="1">
      <alignment vertical="center"/>
    </xf>
    <xf numFmtId="0" fontId="0" fillId="3" borderId="0" xfId="0" applyFill="1" applyBorder="1">
      <alignment vertical="center"/>
    </xf>
    <xf numFmtId="4" fontId="0" fillId="3" borderId="0" xfId="0" applyNumberFormat="1" applyFill="1" applyBorder="1" applyAlignment="1">
      <alignment horizontal="left" vertical="center"/>
    </xf>
    <xf numFmtId="4" fontId="0" fillId="3" borderId="5" xfId="0" applyNumberFormat="1" applyFill="1" applyBorder="1" applyAlignment="1">
      <alignment horizontal="left" vertical="center"/>
    </xf>
    <xf numFmtId="4" fontId="0" fillId="0" borderId="4" xfId="0" applyNumberFormat="1" applyBorder="1">
      <alignment vertical="center"/>
    </xf>
    <xf numFmtId="4" fontId="0" fillId="0" borderId="0" xfId="0" applyNumberFormat="1">
      <alignment vertical="center"/>
    </xf>
    <xf numFmtId="4" fontId="0" fillId="0" borderId="5" xfId="0" applyNumberFormat="1" applyBorder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2" borderId="4" xfId="0" applyNumberFormat="1" applyFont="1" applyFill="1" applyBorder="1" applyAlignment="1" applyProtection="1">
      <alignment vertical="center"/>
    </xf>
    <xf numFmtId="0" fontId="4" fillId="2" borderId="0" xfId="0" applyNumberFormat="1" applyFont="1" applyFill="1" applyBorder="1" applyAlignment="1" applyProtection="1">
      <alignment vertical="center"/>
    </xf>
    <xf numFmtId="0" fontId="5" fillId="0" borderId="4" xfId="0" applyNumberFormat="1" applyFont="1" applyFill="1" applyBorder="1" applyAlignment="1" applyProtection="1">
      <alignment vertical="center"/>
    </xf>
    <xf numFmtId="9" fontId="5" fillId="0" borderId="0" xfId="0" applyNumberFormat="1" applyFont="1" applyFill="1" applyBorder="1" applyAlignment="1" applyProtection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6" fillId="0" borderId="0" xfId="0" applyFont="1">
      <alignment vertical="center"/>
    </xf>
    <xf numFmtId="176" fontId="0" fillId="0" borderId="0" xfId="0" applyNumberFormat="1" applyBorder="1">
      <alignment vertical="center"/>
    </xf>
    <xf numFmtId="4" fontId="0" fillId="0" borderId="0" xfId="0" applyNumberForma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2" fillId="0" borderId="0" xfId="0" applyFont="1">
      <alignment vertical="center"/>
    </xf>
    <xf numFmtId="58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2" fillId="0" borderId="15" xfId="0" applyFont="1" applyBorder="1" applyAlignment="1">
      <alignment horizontal="center" vertical="center"/>
    </xf>
    <xf numFmtId="0" fontId="0" fillId="0" borderId="15" xfId="0" applyBorder="1">
      <alignment vertical="center"/>
    </xf>
    <xf numFmtId="58" fontId="0" fillId="0" borderId="15" xfId="0" applyNumberFormat="1" applyBorder="1">
      <alignment vertical="center"/>
    </xf>
    <xf numFmtId="9" fontId="0" fillId="0" borderId="15" xfId="0" applyNumberFormat="1" applyBorder="1">
      <alignment vertical="center"/>
    </xf>
    <xf numFmtId="9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0" fillId="0" borderId="15" xfId="0" applyNumberFormat="1" applyBorder="1">
      <alignment vertical="center"/>
    </xf>
    <xf numFmtId="4" fontId="0" fillId="0" borderId="15" xfId="0" applyNumberFormat="1" applyBorder="1">
      <alignment vertical="center"/>
    </xf>
    <xf numFmtId="10" fontId="0" fillId="0" borderId="15" xfId="0" applyNumberFormat="1" applyBorder="1">
      <alignment vertical="center"/>
    </xf>
    <xf numFmtId="1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2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1"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alignment horizontal="center"/>
    </dxf>
    <dxf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  <fill>
        <patternFill patternType="none"/>
      </fill>
      <alignment vertical="center"/>
      <border>
        <left style="medium">
          <color rgb="FFFFC000"/>
        </left>
        <right/>
        <top/>
        <bottom/>
      </border>
    </dxf>
    <dxf>
      <numFmt numFmtId="4" formatCode="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5" tint="0.799981688894314"/>
          <bgColor theme="5" tint="0.799981688894314"/>
        </patternFill>
      </fill>
    </dxf>
    <dxf>
      <fill>
        <patternFill patternType="solid">
          <fgColor theme="5" tint="0.799981688894314"/>
          <bgColor theme="5" tint="0.799981688894314"/>
        </patternFill>
      </fill>
    </dxf>
    <dxf>
      <font>
        <b val="1"/>
        <color theme="5" tint="-0.249977111117893"/>
      </font>
    </dxf>
    <dxf>
      <font>
        <b val="1"/>
        <color theme="5" tint="-0.249977111117893"/>
      </font>
    </dxf>
    <dxf>
      <font>
        <b val="1"/>
        <color theme="5" tint="-0.249977111117893"/>
      </font>
      <border>
        <top style="thin">
          <color theme="5"/>
        </top>
      </border>
    </dxf>
    <dxf>
      <font>
        <b val="1"/>
        <color theme="5" tint="-0.499984740745262"/>
      </font>
      <border>
        <top style="thin">
          <color theme="5"/>
        </top>
        <bottom style="medium">
          <color theme="5"/>
        </bottom>
      </border>
    </dxf>
    <dxf>
      <font>
        <color theme="5" tint="-0.499984740745262"/>
      </font>
      <border>
        <top style="thin">
          <color theme="5"/>
        </top>
        <bottom style="thin">
          <color theme="5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1_Accent2" pivot="0" count="7" xr9:uid="{B3838B09-31DD-41EE-A1C2-E4259618CD32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colors>
    <mruColors>
      <color rgb="00F6DA6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pivotCacheDefinition" Target="pivotCache/pivotCacheDefinition4.xml"/><Relationship Id="rId1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latest_growth_analysis!$D$4</c:f>
              <c:strCache>
                <c:ptCount val="1"/>
                <c:pt idx="0">
                  <c:v>latest_mom_sales_growth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latest_growth_analysis!$C$5:$C$7</c:f>
              <c:strCache>
                <c:ptCount val="3"/>
                <c:pt idx="0">
                  <c:v>Motor Vehicles &amp; Motorcycles</c:v>
                </c:pt>
                <c:pt idx="1">
                  <c:v>Retail Trade</c:v>
                </c:pt>
                <c:pt idx="2">
                  <c:v>Wholesale Trade</c:v>
                </c:pt>
              </c:strCache>
            </c:strRef>
          </c:cat>
          <c:val>
            <c:numRef>
              <c:f>latest_growth_analysis!$D$5:$D$7</c:f>
              <c:numCache>
                <c:formatCode>0%</c:formatCode>
                <c:ptCount val="3"/>
                <c:pt idx="0">
                  <c:v>0.06</c:v>
                </c:pt>
                <c:pt idx="1">
                  <c:v>0</c:v>
                </c:pt>
                <c:pt idx="2">
                  <c:v>-0.05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92019505"/>
        <c:axId val="943578787"/>
      </c:barChart>
      <c:catAx>
        <c:axId val="89201950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3578787"/>
        <c:crosses val="autoZero"/>
        <c:auto val="1"/>
        <c:lblAlgn val="ctr"/>
        <c:lblOffset val="100"/>
        <c:noMultiLvlLbl val="0"/>
      </c:catAx>
      <c:valAx>
        <c:axId val="9435787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195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406374-b554-4ef3-bc83-eb60d7c6239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[Wholesale_Retail_Analysis.xlsx]Sales Trend by Year!PivotTable2</c:name>
    <c:fmtId val="6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'Sales Trend by Year'!$H$4:$H$5</c:f>
              <c:strCache>
                <c:ptCount val="1"/>
                <c:pt idx="0">
                  <c:v>Motor Vehicles &amp; Motorcycles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'Sales Trend by Year'!$G$6:$G$15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'Sales Trend by Year'!$H$6:$H$15</c:f>
              <c:numCache>
                <c:formatCode>General</c:formatCode>
                <c:ptCount val="9"/>
                <c:pt idx="0">
                  <c:v>146679</c:v>
                </c:pt>
                <c:pt idx="1">
                  <c:v>150623</c:v>
                </c:pt>
                <c:pt idx="2">
                  <c:v>135094</c:v>
                </c:pt>
                <c:pt idx="3">
                  <c:v>124105</c:v>
                </c:pt>
                <c:pt idx="4">
                  <c:v>183173</c:v>
                </c:pt>
                <c:pt idx="5">
                  <c:v>205706</c:v>
                </c:pt>
                <c:pt idx="6">
                  <c:v>219058</c:v>
                </c:pt>
                <c:pt idx="7">
                  <c:v>226130</c:v>
                </c:pt>
                <c:pt idx="8">
                  <c:v>112803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'Sales Trend by Year'!$I$4:$I$5</c:f>
              <c:strCache>
                <c:ptCount val="1"/>
                <c:pt idx="0">
                  <c:v>Retail Trade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'Sales Trend by Year'!$G$6:$G$15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'Sales Trend by Year'!$I$6:$I$15</c:f>
              <c:numCache>
                <c:formatCode>General</c:formatCode>
                <c:ptCount val="9"/>
                <c:pt idx="0">
                  <c:v>499995</c:v>
                </c:pt>
                <c:pt idx="1">
                  <c:v>537599</c:v>
                </c:pt>
                <c:pt idx="2">
                  <c:v>511008</c:v>
                </c:pt>
                <c:pt idx="3">
                  <c:v>533563</c:v>
                </c:pt>
                <c:pt idx="4">
                  <c:v>661052</c:v>
                </c:pt>
                <c:pt idx="5">
                  <c:v>720751</c:v>
                </c:pt>
                <c:pt idx="6">
                  <c:v>764901</c:v>
                </c:pt>
                <c:pt idx="7">
                  <c:v>811512</c:v>
                </c:pt>
                <c:pt idx="8">
                  <c:v>427124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'Sales Trend by Year'!$J$4:$J$5</c:f>
              <c:strCache>
                <c:ptCount val="1"/>
                <c:pt idx="0">
                  <c:v>Wholesale Trade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'Sales Trend by Year'!$G$6:$G$15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'Sales Trend by Year'!$J$6:$J$15</c:f>
              <c:numCache>
                <c:formatCode>General</c:formatCode>
                <c:ptCount val="9"/>
                <c:pt idx="0">
                  <c:v>605474</c:v>
                </c:pt>
                <c:pt idx="1">
                  <c:v>638222</c:v>
                </c:pt>
                <c:pt idx="2">
                  <c:v>603311</c:v>
                </c:pt>
                <c:pt idx="3">
                  <c:v>641756</c:v>
                </c:pt>
                <c:pt idx="4">
                  <c:v>710293</c:v>
                </c:pt>
                <c:pt idx="5">
                  <c:v>747149</c:v>
                </c:pt>
                <c:pt idx="6">
                  <c:v>782080</c:v>
                </c:pt>
                <c:pt idx="7">
                  <c:v>827367</c:v>
                </c:pt>
                <c:pt idx="8">
                  <c:v>459779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5801776"/>
        <c:axId val="240933571"/>
      </c:lineChart>
      <c:catAx>
        <c:axId val="3258017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0933571"/>
        <c:crosses val="autoZero"/>
        <c:auto val="1"/>
        <c:lblAlgn val="ctr"/>
        <c:lblOffset val="100"/>
        <c:noMultiLvlLbl val="0"/>
      </c:catAx>
      <c:valAx>
        <c:axId val="2409335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580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6ba1d1-faa9-4bb2-bfb2-27604c95f3c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[Wholesale_Retail_Analysis.xlsx]2025_Monthly_Sales_Trend!PivotTable1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0953506097560976"/>
          <c:y val="0.210893854748603"/>
          <c:w val="0.629751016260163"/>
          <c:h val="0.65122905027933"/>
        </c:manualLayout>
      </c:layout>
      <c:lineChart>
        <c:grouping val="standard"/>
        <c:varyColors val="0"/>
        <c:ser>
          <c:idx val="0"/>
          <c:order val="0"/>
          <c:tx>
            <c:strRef>
              <c:f>'2025_Monthly_Sales_Trend'!$H$4:$H$5</c:f>
              <c:strCache>
                <c:ptCount val="1"/>
                <c:pt idx="0">
                  <c:v>Motor Vehicles &amp; Motorcycles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'2025_Monthly_Sales_Trend'!$G$6:$G$18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'2025_Monthly_Sales_Trend'!$H$6:$H$18</c:f>
              <c:numCache>
                <c:formatCode>General</c:formatCode>
                <c:ptCount val="12"/>
                <c:pt idx="0">
                  <c:v>16009</c:v>
                </c:pt>
                <c:pt idx="1">
                  <c:v>17626</c:v>
                </c:pt>
                <c:pt idx="2">
                  <c:v>19243</c:v>
                </c:pt>
                <c:pt idx="3">
                  <c:v>17626</c:v>
                </c:pt>
                <c:pt idx="4">
                  <c:v>19069</c:v>
                </c:pt>
                <c:pt idx="5">
                  <c:v>17133</c:v>
                </c:pt>
                <c:pt idx="6">
                  <c:v>19286</c:v>
                </c:pt>
                <c:pt idx="7">
                  <c:v>19618</c:v>
                </c:pt>
                <c:pt idx="8">
                  <c:v>18041</c:v>
                </c:pt>
                <c:pt idx="9">
                  <c:v>20412</c:v>
                </c:pt>
                <c:pt idx="10">
                  <c:v>19790</c:v>
                </c:pt>
                <c:pt idx="11">
                  <c:v>22277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'2025_Monthly_Sales_Trend'!$I$4:$I$5</c:f>
              <c:strCache>
                <c:ptCount val="1"/>
                <c:pt idx="0">
                  <c:v>Retail Trade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'2025_Monthly_Sales_Trend'!$G$6:$G$18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'2025_Monthly_Sales_Trend'!$I$6:$I$18</c:f>
              <c:numCache>
                <c:formatCode>General</c:formatCode>
                <c:ptCount val="12"/>
                <c:pt idx="0">
                  <c:v>66118</c:v>
                </c:pt>
                <c:pt idx="1">
                  <c:v>65070</c:v>
                </c:pt>
                <c:pt idx="2">
                  <c:v>66984</c:v>
                </c:pt>
                <c:pt idx="3">
                  <c:v>66759</c:v>
                </c:pt>
                <c:pt idx="4">
                  <c:v>67068</c:v>
                </c:pt>
                <c:pt idx="5">
                  <c:v>67542</c:v>
                </c:pt>
                <c:pt idx="6">
                  <c:v>67013</c:v>
                </c:pt>
                <c:pt idx="7">
                  <c:v>67327</c:v>
                </c:pt>
                <c:pt idx="8">
                  <c:v>68916</c:v>
                </c:pt>
                <c:pt idx="9">
                  <c:v>69325</c:v>
                </c:pt>
                <c:pt idx="10">
                  <c:v>69015</c:v>
                </c:pt>
                <c:pt idx="11">
                  <c:v>70375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'2025_Monthly_Sales_Trend'!$J$4:$J$5</c:f>
              <c:strCache>
                <c:ptCount val="1"/>
                <c:pt idx="0">
                  <c:v>Wholesale Trade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'2025_Monthly_Sales_Trend'!$G$6:$G$18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'2025_Monthly_Sales_Trend'!$J$6:$J$18</c:f>
              <c:numCache>
                <c:formatCode>General</c:formatCode>
                <c:ptCount val="12"/>
                <c:pt idx="0">
                  <c:v>66783</c:v>
                </c:pt>
                <c:pt idx="1">
                  <c:v>65799</c:v>
                </c:pt>
                <c:pt idx="2">
                  <c:v>67755</c:v>
                </c:pt>
                <c:pt idx="3">
                  <c:v>67321</c:v>
                </c:pt>
                <c:pt idx="4">
                  <c:v>68204</c:v>
                </c:pt>
                <c:pt idx="5">
                  <c:v>68295</c:v>
                </c:pt>
                <c:pt idx="6">
                  <c:v>70130</c:v>
                </c:pt>
                <c:pt idx="7">
                  <c:v>69642</c:v>
                </c:pt>
                <c:pt idx="8">
                  <c:v>71054</c:v>
                </c:pt>
                <c:pt idx="9">
                  <c:v>71173</c:v>
                </c:pt>
                <c:pt idx="10">
                  <c:v>70144</c:v>
                </c:pt>
                <c:pt idx="11">
                  <c:v>71067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33406723"/>
        <c:axId val="638834834"/>
      </c:lineChart>
      <c:catAx>
        <c:axId val="73340672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8834834"/>
        <c:crosses val="autoZero"/>
        <c:auto val="1"/>
        <c:lblAlgn val="ctr"/>
        <c:lblOffset val="100"/>
        <c:noMultiLvlLbl val="0"/>
      </c:catAx>
      <c:valAx>
        <c:axId val="63883483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34067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6612a97-b0e7-416f-a992-24737ed0a51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[Wholesale_Retail_Analysis.xlsx]Sales_Analysis!PivotTable6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2025 Sales Contribution by Division (%)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Sales_Analysis!$B$18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FBE55E"/>
                </a:gs>
                <a:gs pos="100000">
                  <a:srgbClr val="EA3F32"/>
                </a:gs>
              </a:gsLst>
              <a:lin ang="882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Sales_Analysis!$A$19:$A$22</c:f>
              <c:strCache>
                <c:ptCount val="3"/>
                <c:pt idx="0">
                  <c:v>Motor Vehicles &amp; Motorcycles</c:v>
                </c:pt>
                <c:pt idx="1">
                  <c:v>Retail Trade</c:v>
                </c:pt>
                <c:pt idx="2">
                  <c:v>Wholesale Trade</c:v>
                </c:pt>
              </c:strCache>
            </c:strRef>
          </c:cat>
          <c:val>
            <c:numRef>
              <c:f>Sales_Analysis!$B$19:$B$22</c:f>
              <c:numCache>
                <c:formatCode>0.00%</c:formatCode>
                <c:ptCount val="3"/>
                <c:pt idx="0">
                  <c:v>0.1212</c:v>
                </c:pt>
                <c:pt idx="1">
                  <c:v>0.4351</c:v>
                </c:pt>
                <c:pt idx="2">
                  <c:v>0.4436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367764699"/>
        <c:axId val="636457705"/>
      </c:barChart>
      <c:catAx>
        <c:axId val="36776469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6457705"/>
        <c:crosses val="autoZero"/>
        <c:auto val="1"/>
        <c:lblAlgn val="ctr"/>
        <c:lblOffset val="100"/>
        <c:noMultiLvlLbl val="0"/>
      </c:catAx>
      <c:valAx>
        <c:axId val="636457705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77646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7acdf68-e9f1-48ec-82e7-2562f1b8584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[Wholesale_Retail_Analysis.xlsx]Volume!PivotTable15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Volume Index by Division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43283698448585"/>
          <c:y val="0.175902506323293"/>
          <c:w val="0.713526155765183"/>
          <c:h val="0.638859507932858"/>
        </c:manualLayout>
      </c:layout>
      <c:lineChart>
        <c:grouping val="standard"/>
        <c:varyColors val="0"/>
        <c:ser>
          <c:idx val="0"/>
          <c:order val="0"/>
          <c:tx>
            <c:strRef>
              <c:f>Volume!$J$3:$J$4</c:f>
              <c:strCache>
                <c:ptCount val="1"/>
                <c:pt idx="0">
                  <c:v>Motor Vehicles &amp; Motorcycles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Volume!$I$5:$I$107</c:f>
              <c:strCache>
                <c:ptCount val="102"/>
                <c:pt idx="0">
                  <c:v>Jan-18</c:v>
                </c:pt>
                <c:pt idx="1">
                  <c:v>Feb-18</c:v>
                </c:pt>
                <c:pt idx="2">
                  <c:v>Mar-18</c:v>
                </c:pt>
                <c:pt idx="3">
                  <c:v>Apr-18</c:v>
                </c:pt>
                <c:pt idx="4">
                  <c:v>May-18</c:v>
                </c:pt>
                <c:pt idx="5">
                  <c:v>Jun-18</c:v>
                </c:pt>
                <c:pt idx="6">
                  <c:v>Jul-18</c:v>
                </c:pt>
                <c:pt idx="7">
                  <c:v>Aug-18</c:v>
                </c:pt>
                <c:pt idx="8">
                  <c:v>Sep-18</c:v>
                </c:pt>
                <c:pt idx="9">
                  <c:v>Oct-18</c:v>
                </c:pt>
                <c:pt idx="10">
                  <c:v>Nov-18</c:v>
                </c:pt>
                <c:pt idx="11">
                  <c:v>Dec-18</c:v>
                </c:pt>
                <c:pt idx="12">
                  <c:v>Jan-19</c:v>
                </c:pt>
                <c:pt idx="13">
                  <c:v>Feb-19</c:v>
                </c:pt>
                <c:pt idx="14">
                  <c:v>Mar-19</c:v>
                </c:pt>
                <c:pt idx="15">
                  <c:v>Apr-19</c:v>
                </c:pt>
                <c:pt idx="16">
                  <c:v>May-19</c:v>
                </c:pt>
                <c:pt idx="17">
                  <c:v>Jun-19</c:v>
                </c:pt>
                <c:pt idx="18">
                  <c:v>Jul-19</c:v>
                </c:pt>
                <c:pt idx="19">
                  <c:v>Aug-19</c:v>
                </c:pt>
                <c:pt idx="20">
                  <c:v>Sep-19</c:v>
                </c:pt>
                <c:pt idx="21">
                  <c:v>Oct-19</c:v>
                </c:pt>
                <c:pt idx="22">
                  <c:v>Nov-19</c:v>
                </c:pt>
                <c:pt idx="23">
                  <c:v>Dec-19</c:v>
                </c:pt>
                <c:pt idx="24">
                  <c:v>Jan-20</c:v>
                </c:pt>
                <c:pt idx="25">
                  <c:v>Feb-20</c:v>
                </c:pt>
                <c:pt idx="26">
                  <c:v>Mar-20</c:v>
                </c:pt>
                <c:pt idx="27">
                  <c:v>Apr-20</c:v>
                </c:pt>
                <c:pt idx="28">
                  <c:v>May-20</c:v>
                </c:pt>
                <c:pt idx="29">
                  <c:v>Jun-20</c:v>
                </c:pt>
                <c:pt idx="30">
                  <c:v>Jul-20</c:v>
                </c:pt>
                <c:pt idx="31">
                  <c:v>Aug-20</c:v>
                </c:pt>
                <c:pt idx="32">
                  <c:v>Sep-20</c:v>
                </c:pt>
                <c:pt idx="33">
                  <c:v>Oct-20</c:v>
                </c:pt>
                <c:pt idx="34">
                  <c:v>Nov-20</c:v>
                </c:pt>
                <c:pt idx="35">
                  <c:v>Dec-20</c:v>
                </c:pt>
                <c:pt idx="36">
                  <c:v>Jan-21</c:v>
                </c:pt>
                <c:pt idx="37">
                  <c:v>Feb-21</c:v>
                </c:pt>
                <c:pt idx="38">
                  <c:v>Mar-21</c:v>
                </c:pt>
                <c:pt idx="39">
                  <c:v>Apr-21</c:v>
                </c:pt>
                <c:pt idx="40">
                  <c:v>May-21</c:v>
                </c:pt>
                <c:pt idx="41">
                  <c:v>Jun-21</c:v>
                </c:pt>
                <c:pt idx="42">
                  <c:v>Jul-21</c:v>
                </c:pt>
                <c:pt idx="43">
                  <c:v>Aug-21</c:v>
                </c:pt>
                <c:pt idx="44">
                  <c:v>Sep-21</c:v>
                </c:pt>
                <c:pt idx="45">
                  <c:v>Oct-21</c:v>
                </c:pt>
                <c:pt idx="46">
                  <c:v>Nov-21</c:v>
                </c:pt>
                <c:pt idx="47">
                  <c:v>Dec-21</c:v>
                </c:pt>
                <c:pt idx="48">
                  <c:v>Jan-22</c:v>
                </c:pt>
                <c:pt idx="49">
                  <c:v>Feb-22</c:v>
                </c:pt>
                <c:pt idx="50">
                  <c:v>Mar-22</c:v>
                </c:pt>
                <c:pt idx="51">
                  <c:v>Apr-22</c:v>
                </c:pt>
                <c:pt idx="52">
                  <c:v>May-22</c:v>
                </c:pt>
                <c:pt idx="53">
                  <c:v>Jun-22</c:v>
                </c:pt>
                <c:pt idx="54">
                  <c:v>Jul-22</c:v>
                </c:pt>
                <c:pt idx="55">
                  <c:v>Aug-22</c:v>
                </c:pt>
                <c:pt idx="56">
                  <c:v>Sep-22</c:v>
                </c:pt>
                <c:pt idx="57">
                  <c:v>Oct-22</c:v>
                </c:pt>
                <c:pt idx="58">
                  <c:v>Nov-22</c:v>
                </c:pt>
                <c:pt idx="59">
                  <c:v>Dec-22</c:v>
                </c:pt>
                <c:pt idx="60">
                  <c:v>Jan-23</c:v>
                </c:pt>
                <c:pt idx="61">
                  <c:v>Feb-23</c:v>
                </c:pt>
                <c:pt idx="62">
                  <c:v>Mar-23</c:v>
                </c:pt>
                <c:pt idx="63">
                  <c:v>Apr-23</c:v>
                </c:pt>
                <c:pt idx="64">
                  <c:v>May-23</c:v>
                </c:pt>
                <c:pt idx="65">
                  <c:v>Jun-23</c:v>
                </c:pt>
                <c:pt idx="66">
                  <c:v>Jul-23</c:v>
                </c:pt>
                <c:pt idx="67">
                  <c:v>Aug-23</c:v>
                </c:pt>
                <c:pt idx="68">
                  <c:v>Sep-23</c:v>
                </c:pt>
                <c:pt idx="69">
                  <c:v>Oct-23</c:v>
                </c:pt>
                <c:pt idx="70">
                  <c:v>Nov-23</c:v>
                </c:pt>
                <c:pt idx="71">
                  <c:v>Dec-23</c:v>
                </c:pt>
                <c:pt idx="72">
                  <c:v>Jan-24</c:v>
                </c:pt>
                <c:pt idx="73">
                  <c:v>Feb-24</c:v>
                </c:pt>
                <c:pt idx="74">
                  <c:v>Mar-24</c:v>
                </c:pt>
                <c:pt idx="75">
                  <c:v>Apr-24</c:v>
                </c:pt>
                <c:pt idx="76">
                  <c:v>May-24</c:v>
                </c:pt>
                <c:pt idx="77">
                  <c:v>Jun-24</c:v>
                </c:pt>
                <c:pt idx="78">
                  <c:v>Jul-24</c:v>
                </c:pt>
                <c:pt idx="79">
                  <c:v>Aug-24</c:v>
                </c:pt>
                <c:pt idx="80">
                  <c:v>Sep-24</c:v>
                </c:pt>
                <c:pt idx="81">
                  <c:v>Oct-24</c:v>
                </c:pt>
                <c:pt idx="82">
                  <c:v>Nov-24</c:v>
                </c:pt>
                <c:pt idx="83">
                  <c:v>Dec-24</c:v>
                </c:pt>
                <c:pt idx="84">
                  <c:v>Jan-25</c:v>
                </c:pt>
                <c:pt idx="85">
                  <c:v>Feb-25</c:v>
                </c:pt>
                <c:pt idx="86">
                  <c:v>Mar-25</c:v>
                </c:pt>
                <c:pt idx="87">
                  <c:v>Apr-25</c:v>
                </c:pt>
                <c:pt idx="88">
                  <c:v>May-25</c:v>
                </c:pt>
                <c:pt idx="89">
                  <c:v>Jun-25</c:v>
                </c:pt>
                <c:pt idx="90">
                  <c:v>Jul-25</c:v>
                </c:pt>
                <c:pt idx="91">
                  <c:v>Aug-25</c:v>
                </c:pt>
                <c:pt idx="92">
                  <c:v>Sep-25</c:v>
                </c:pt>
                <c:pt idx="93">
                  <c:v>Oct-25</c:v>
                </c:pt>
                <c:pt idx="94">
                  <c:v>Nov-25</c:v>
                </c:pt>
                <c:pt idx="95">
                  <c:v>Dec-25</c:v>
                </c:pt>
                <c:pt idx="96">
                  <c:v>Jan-26</c:v>
                </c:pt>
                <c:pt idx="97">
                  <c:v>Feb-26</c:v>
                </c:pt>
                <c:pt idx="98">
                  <c:v>Mar-26</c:v>
                </c:pt>
                <c:pt idx="99">
                  <c:v>Apr-26</c:v>
                </c:pt>
                <c:pt idx="100">
                  <c:v>May-26</c:v>
                </c:pt>
                <c:pt idx="101">
                  <c:v>Jun-26</c:v>
                </c:pt>
              </c:strCache>
            </c:strRef>
          </c:cat>
          <c:val>
            <c:numRef>
              <c:f>Volume!$J$5:$J$107</c:f>
              <c:numCache>
                <c:formatCode>General</c:formatCode>
                <c:ptCount val="102"/>
                <c:pt idx="0">
                  <c:v>99</c:v>
                </c:pt>
                <c:pt idx="1">
                  <c:v>100</c:v>
                </c:pt>
                <c:pt idx="2">
                  <c:v>95</c:v>
                </c:pt>
                <c:pt idx="3">
                  <c:v>102</c:v>
                </c:pt>
                <c:pt idx="4">
                  <c:v>100</c:v>
                </c:pt>
                <c:pt idx="5">
                  <c:v>105</c:v>
                </c:pt>
                <c:pt idx="6">
                  <c:v>109</c:v>
                </c:pt>
                <c:pt idx="7">
                  <c:v>107</c:v>
                </c:pt>
                <c:pt idx="8">
                  <c:v>94</c:v>
                </c:pt>
                <c:pt idx="9">
                  <c:v>101</c:v>
                </c:pt>
                <c:pt idx="10">
                  <c:v>102</c:v>
                </c:pt>
                <c:pt idx="11">
                  <c:v>97</c:v>
                </c:pt>
                <c:pt idx="12">
                  <c:v>105</c:v>
                </c:pt>
                <c:pt idx="13">
                  <c:v>104</c:v>
                </c:pt>
                <c:pt idx="14">
                  <c:v>102</c:v>
                </c:pt>
                <c:pt idx="15">
                  <c:v>106</c:v>
                </c:pt>
                <c:pt idx="16">
                  <c:v>108</c:v>
                </c:pt>
                <c:pt idx="17">
                  <c:v>105</c:v>
                </c:pt>
                <c:pt idx="18">
                  <c:v>106</c:v>
                </c:pt>
                <c:pt idx="19">
                  <c:v>106</c:v>
                </c:pt>
                <c:pt idx="20">
                  <c:v>101</c:v>
                </c:pt>
                <c:pt idx="21">
                  <c:v>105</c:v>
                </c:pt>
                <c:pt idx="22">
                  <c:v>105</c:v>
                </c:pt>
                <c:pt idx="23">
                  <c:v>104</c:v>
                </c:pt>
                <c:pt idx="24">
                  <c:v>104</c:v>
                </c:pt>
                <c:pt idx="25">
                  <c:v>102</c:v>
                </c:pt>
                <c:pt idx="26">
                  <c:v>85</c:v>
                </c:pt>
                <c:pt idx="27">
                  <c:v>7</c:v>
                </c:pt>
                <c:pt idx="28">
                  <c:v>60</c:v>
                </c:pt>
                <c:pt idx="29">
                  <c:v>108</c:v>
                </c:pt>
                <c:pt idx="30">
                  <c:v>110</c:v>
                </c:pt>
                <c:pt idx="31">
                  <c:v>110</c:v>
                </c:pt>
                <c:pt idx="32">
                  <c:v>113</c:v>
                </c:pt>
                <c:pt idx="33">
                  <c:v>101</c:v>
                </c:pt>
                <c:pt idx="34">
                  <c:v>102</c:v>
                </c:pt>
                <c:pt idx="35">
                  <c:v>110</c:v>
                </c:pt>
                <c:pt idx="36">
                  <c:v>90</c:v>
                </c:pt>
                <c:pt idx="37">
                  <c:v>100</c:v>
                </c:pt>
                <c:pt idx="38">
                  <c:v>110</c:v>
                </c:pt>
                <c:pt idx="39">
                  <c:v>129</c:v>
                </c:pt>
                <c:pt idx="40">
                  <c:v>101</c:v>
                </c:pt>
                <c:pt idx="41">
                  <c:v>8</c:v>
                </c:pt>
                <c:pt idx="42">
                  <c:v>13</c:v>
                </c:pt>
                <c:pt idx="43">
                  <c:v>45</c:v>
                </c:pt>
                <c:pt idx="44">
                  <c:v>84</c:v>
                </c:pt>
                <c:pt idx="45">
                  <c:v>108</c:v>
                </c:pt>
                <c:pt idx="46">
                  <c:v>105</c:v>
                </c:pt>
                <c:pt idx="47">
                  <c:v>111</c:v>
                </c:pt>
                <c:pt idx="48">
                  <c:v>104</c:v>
                </c:pt>
                <c:pt idx="49">
                  <c:v>107</c:v>
                </c:pt>
                <c:pt idx="50">
                  <c:v>116</c:v>
                </c:pt>
                <c:pt idx="51">
                  <c:v>134</c:v>
                </c:pt>
                <c:pt idx="52">
                  <c:v>134</c:v>
                </c:pt>
                <c:pt idx="53">
                  <c:v>129</c:v>
                </c:pt>
                <c:pt idx="54">
                  <c:v>115</c:v>
                </c:pt>
                <c:pt idx="55">
                  <c:v>131</c:v>
                </c:pt>
                <c:pt idx="56">
                  <c:v>119</c:v>
                </c:pt>
                <c:pt idx="57">
                  <c:v>110</c:v>
                </c:pt>
                <c:pt idx="58">
                  <c:v>114</c:v>
                </c:pt>
                <c:pt idx="59">
                  <c:v>116</c:v>
                </c:pt>
                <c:pt idx="60">
                  <c:v>120</c:v>
                </c:pt>
                <c:pt idx="61">
                  <c:v>122</c:v>
                </c:pt>
                <c:pt idx="62">
                  <c:v>128</c:v>
                </c:pt>
                <c:pt idx="63">
                  <c:v>122</c:v>
                </c:pt>
                <c:pt idx="64">
                  <c:v>157</c:v>
                </c:pt>
                <c:pt idx="65">
                  <c:v>142</c:v>
                </c:pt>
                <c:pt idx="66">
                  <c:v>158</c:v>
                </c:pt>
                <c:pt idx="67">
                  <c:v>150</c:v>
                </c:pt>
                <c:pt idx="68">
                  <c:v>130</c:v>
                </c:pt>
                <c:pt idx="69">
                  <c:v>130</c:v>
                </c:pt>
                <c:pt idx="70">
                  <c:v>124</c:v>
                </c:pt>
                <c:pt idx="71">
                  <c:v>121</c:v>
                </c:pt>
                <c:pt idx="72">
                  <c:v>134</c:v>
                </c:pt>
                <c:pt idx="73">
                  <c:v>130</c:v>
                </c:pt>
                <c:pt idx="74">
                  <c:v>117</c:v>
                </c:pt>
                <c:pt idx="75">
                  <c:v>120</c:v>
                </c:pt>
                <c:pt idx="76">
                  <c:v>169</c:v>
                </c:pt>
                <c:pt idx="77">
                  <c:v>143</c:v>
                </c:pt>
                <c:pt idx="78">
                  <c:v>163</c:v>
                </c:pt>
                <c:pt idx="79">
                  <c:v>154</c:v>
                </c:pt>
                <c:pt idx="80">
                  <c:v>136</c:v>
                </c:pt>
                <c:pt idx="81">
                  <c:v>134</c:v>
                </c:pt>
                <c:pt idx="82">
                  <c:v>125</c:v>
                </c:pt>
                <c:pt idx="83">
                  <c:v>129</c:v>
                </c:pt>
                <c:pt idx="84">
                  <c:v>117</c:v>
                </c:pt>
                <c:pt idx="85">
                  <c:v>129</c:v>
                </c:pt>
                <c:pt idx="86">
                  <c:v>141</c:v>
                </c:pt>
                <c:pt idx="87">
                  <c:v>130</c:v>
                </c:pt>
                <c:pt idx="88">
                  <c:v>141</c:v>
                </c:pt>
                <c:pt idx="89">
                  <c:v>126</c:v>
                </c:pt>
                <c:pt idx="90">
                  <c:v>142</c:v>
                </c:pt>
                <c:pt idx="91">
                  <c:v>144</c:v>
                </c:pt>
                <c:pt idx="92">
                  <c:v>132</c:v>
                </c:pt>
                <c:pt idx="93">
                  <c:v>149</c:v>
                </c:pt>
                <c:pt idx="94">
                  <c:v>144</c:v>
                </c:pt>
                <c:pt idx="95">
                  <c:v>162</c:v>
                </c:pt>
                <c:pt idx="96">
                  <c:v>136</c:v>
                </c:pt>
                <c:pt idx="97">
                  <c:v>121</c:v>
                </c:pt>
                <c:pt idx="98">
                  <c:v>135</c:v>
                </c:pt>
                <c:pt idx="99">
                  <c:v>148</c:v>
                </c:pt>
                <c:pt idx="100">
                  <c:v>135</c:v>
                </c:pt>
                <c:pt idx="101">
                  <c:v>143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Volume!$K$3:$K$4</c:f>
              <c:strCache>
                <c:ptCount val="1"/>
                <c:pt idx="0">
                  <c:v>Retail Trade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Volume!$I$5:$I$107</c:f>
              <c:strCache>
                <c:ptCount val="102"/>
                <c:pt idx="0">
                  <c:v>Jan-18</c:v>
                </c:pt>
                <c:pt idx="1">
                  <c:v>Feb-18</c:v>
                </c:pt>
                <c:pt idx="2">
                  <c:v>Mar-18</c:v>
                </c:pt>
                <c:pt idx="3">
                  <c:v>Apr-18</c:v>
                </c:pt>
                <c:pt idx="4">
                  <c:v>May-18</c:v>
                </c:pt>
                <c:pt idx="5">
                  <c:v>Jun-18</c:v>
                </c:pt>
                <c:pt idx="6">
                  <c:v>Jul-18</c:v>
                </c:pt>
                <c:pt idx="7">
                  <c:v>Aug-18</c:v>
                </c:pt>
                <c:pt idx="8">
                  <c:v>Sep-18</c:v>
                </c:pt>
                <c:pt idx="9">
                  <c:v>Oct-18</c:v>
                </c:pt>
                <c:pt idx="10">
                  <c:v>Nov-18</c:v>
                </c:pt>
                <c:pt idx="11">
                  <c:v>Dec-18</c:v>
                </c:pt>
                <c:pt idx="12">
                  <c:v>Jan-19</c:v>
                </c:pt>
                <c:pt idx="13">
                  <c:v>Feb-19</c:v>
                </c:pt>
                <c:pt idx="14">
                  <c:v>Mar-19</c:v>
                </c:pt>
                <c:pt idx="15">
                  <c:v>Apr-19</c:v>
                </c:pt>
                <c:pt idx="16">
                  <c:v>May-19</c:v>
                </c:pt>
                <c:pt idx="17">
                  <c:v>Jun-19</c:v>
                </c:pt>
                <c:pt idx="18">
                  <c:v>Jul-19</c:v>
                </c:pt>
                <c:pt idx="19">
                  <c:v>Aug-19</c:v>
                </c:pt>
                <c:pt idx="20">
                  <c:v>Sep-19</c:v>
                </c:pt>
                <c:pt idx="21">
                  <c:v>Oct-19</c:v>
                </c:pt>
                <c:pt idx="22">
                  <c:v>Nov-19</c:v>
                </c:pt>
                <c:pt idx="23">
                  <c:v>Dec-19</c:v>
                </c:pt>
                <c:pt idx="24">
                  <c:v>Jan-20</c:v>
                </c:pt>
                <c:pt idx="25">
                  <c:v>Feb-20</c:v>
                </c:pt>
                <c:pt idx="26">
                  <c:v>Mar-20</c:v>
                </c:pt>
                <c:pt idx="27">
                  <c:v>Apr-20</c:v>
                </c:pt>
                <c:pt idx="28">
                  <c:v>May-20</c:v>
                </c:pt>
                <c:pt idx="29">
                  <c:v>Jun-20</c:v>
                </c:pt>
                <c:pt idx="30">
                  <c:v>Jul-20</c:v>
                </c:pt>
                <c:pt idx="31">
                  <c:v>Aug-20</c:v>
                </c:pt>
                <c:pt idx="32">
                  <c:v>Sep-20</c:v>
                </c:pt>
                <c:pt idx="33">
                  <c:v>Oct-20</c:v>
                </c:pt>
                <c:pt idx="34">
                  <c:v>Nov-20</c:v>
                </c:pt>
                <c:pt idx="35">
                  <c:v>Dec-20</c:v>
                </c:pt>
                <c:pt idx="36">
                  <c:v>Jan-21</c:v>
                </c:pt>
                <c:pt idx="37">
                  <c:v>Feb-21</c:v>
                </c:pt>
                <c:pt idx="38">
                  <c:v>Mar-21</c:v>
                </c:pt>
                <c:pt idx="39">
                  <c:v>Apr-21</c:v>
                </c:pt>
                <c:pt idx="40">
                  <c:v>May-21</c:v>
                </c:pt>
                <c:pt idx="41">
                  <c:v>Jun-21</c:v>
                </c:pt>
                <c:pt idx="42">
                  <c:v>Jul-21</c:v>
                </c:pt>
                <c:pt idx="43">
                  <c:v>Aug-21</c:v>
                </c:pt>
                <c:pt idx="44">
                  <c:v>Sep-21</c:v>
                </c:pt>
                <c:pt idx="45">
                  <c:v>Oct-21</c:v>
                </c:pt>
                <c:pt idx="46">
                  <c:v>Nov-21</c:v>
                </c:pt>
                <c:pt idx="47">
                  <c:v>Dec-21</c:v>
                </c:pt>
                <c:pt idx="48">
                  <c:v>Jan-22</c:v>
                </c:pt>
                <c:pt idx="49">
                  <c:v>Feb-22</c:v>
                </c:pt>
                <c:pt idx="50">
                  <c:v>Mar-22</c:v>
                </c:pt>
                <c:pt idx="51">
                  <c:v>Apr-22</c:v>
                </c:pt>
                <c:pt idx="52">
                  <c:v>May-22</c:v>
                </c:pt>
                <c:pt idx="53">
                  <c:v>Jun-22</c:v>
                </c:pt>
                <c:pt idx="54">
                  <c:v>Jul-22</c:v>
                </c:pt>
                <c:pt idx="55">
                  <c:v>Aug-22</c:v>
                </c:pt>
                <c:pt idx="56">
                  <c:v>Sep-22</c:v>
                </c:pt>
                <c:pt idx="57">
                  <c:v>Oct-22</c:v>
                </c:pt>
                <c:pt idx="58">
                  <c:v>Nov-22</c:v>
                </c:pt>
                <c:pt idx="59">
                  <c:v>Dec-22</c:v>
                </c:pt>
                <c:pt idx="60">
                  <c:v>Jan-23</c:v>
                </c:pt>
                <c:pt idx="61">
                  <c:v>Feb-23</c:v>
                </c:pt>
                <c:pt idx="62">
                  <c:v>Mar-23</c:v>
                </c:pt>
                <c:pt idx="63">
                  <c:v>Apr-23</c:v>
                </c:pt>
                <c:pt idx="64">
                  <c:v>May-23</c:v>
                </c:pt>
                <c:pt idx="65">
                  <c:v>Jun-23</c:v>
                </c:pt>
                <c:pt idx="66">
                  <c:v>Jul-23</c:v>
                </c:pt>
                <c:pt idx="67">
                  <c:v>Aug-23</c:v>
                </c:pt>
                <c:pt idx="68">
                  <c:v>Sep-23</c:v>
                </c:pt>
                <c:pt idx="69">
                  <c:v>Oct-23</c:v>
                </c:pt>
                <c:pt idx="70">
                  <c:v>Nov-23</c:v>
                </c:pt>
                <c:pt idx="71">
                  <c:v>Dec-23</c:v>
                </c:pt>
                <c:pt idx="72">
                  <c:v>Jan-24</c:v>
                </c:pt>
                <c:pt idx="73">
                  <c:v>Feb-24</c:v>
                </c:pt>
                <c:pt idx="74">
                  <c:v>Mar-24</c:v>
                </c:pt>
                <c:pt idx="75">
                  <c:v>Apr-24</c:v>
                </c:pt>
                <c:pt idx="76">
                  <c:v>May-24</c:v>
                </c:pt>
                <c:pt idx="77">
                  <c:v>Jun-24</c:v>
                </c:pt>
                <c:pt idx="78">
                  <c:v>Jul-24</c:v>
                </c:pt>
                <c:pt idx="79">
                  <c:v>Aug-24</c:v>
                </c:pt>
                <c:pt idx="80">
                  <c:v>Sep-24</c:v>
                </c:pt>
                <c:pt idx="81">
                  <c:v>Oct-24</c:v>
                </c:pt>
                <c:pt idx="82">
                  <c:v>Nov-24</c:v>
                </c:pt>
                <c:pt idx="83">
                  <c:v>Dec-24</c:v>
                </c:pt>
                <c:pt idx="84">
                  <c:v>Jan-25</c:v>
                </c:pt>
                <c:pt idx="85">
                  <c:v>Feb-25</c:v>
                </c:pt>
                <c:pt idx="86">
                  <c:v>Mar-25</c:v>
                </c:pt>
                <c:pt idx="87">
                  <c:v>Apr-25</c:v>
                </c:pt>
                <c:pt idx="88">
                  <c:v>May-25</c:v>
                </c:pt>
                <c:pt idx="89">
                  <c:v>Jun-25</c:v>
                </c:pt>
                <c:pt idx="90">
                  <c:v>Jul-25</c:v>
                </c:pt>
                <c:pt idx="91">
                  <c:v>Aug-25</c:v>
                </c:pt>
                <c:pt idx="92">
                  <c:v>Sep-25</c:v>
                </c:pt>
                <c:pt idx="93">
                  <c:v>Oct-25</c:v>
                </c:pt>
                <c:pt idx="94">
                  <c:v>Nov-25</c:v>
                </c:pt>
                <c:pt idx="95">
                  <c:v>Dec-25</c:v>
                </c:pt>
                <c:pt idx="96">
                  <c:v>Jan-26</c:v>
                </c:pt>
                <c:pt idx="97">
                  <c:v>Feb-26</c:v>
                </c:pt>
                <c:pt idx="98">
                  <c:v>Mar-26</c:v>
                </c:pt>
                <c:pt idx="99">
                  <c:v>Apr-26</c:v>
                </c:pt>
                <c:pt idx="100">
                  <c:v>May-26</c:v>
                </c:pt>
                <c:pt idx="101">
                  <c:v>Jun-26</c:v>
                </c:pt>
              </c:strCache>
            </c:strRef>
          </c:cat>
          <c:val>
            <c:numRef>
              <c:f>Volume!$K$5:$K$107</c:f>
              <c:numCache>
                <c:formatCode>General</c:formatCode>
                <c:ptCount val="102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126</c:v>
                </c:pt>
                <c:pt idx="5">
                  <c:v>131</c:v>
                </c:pt>
                <c:pt idx="6">
                  <c:v>134</c:v>
                </c:pt>
                <c:pt idx="7">
                  <c:v>136</c:v>
                </c:pt>
                <c:pt idx="8">
                  <c:v>129</c:v>
                </c:pt>
                <c:pt idx="9">
                  <c:v>133</c:v>
                </c:pt>
                <c:pt idx="10">
                  <c:v>134</c:v>
                </c:pt>
                <c:pt idx="11">
                  <c:v>135</c:v>
                </c:pt>
                <c:pt idx="12">
                  <c:v>135</c:v>
                </c:pt>
                <c:pt idx="13">
                  <c:v>135</c:v>
                </c:pt>
                <c:pt idx="14">
                  <c:v>133</c:v>
                </c:pt>
                <c:pt idx="15">
                  <c:v>135</c:v>
                </c:pt>
                <c:pt idx="16">
                  <c:v>138</c:v>
                </c:pt>
                <c:pt idx="17">
                  <c:v>142</c:v>
                </c:pt>
                <c:pt idx="18">
                  <c:v>142</c:v>
                </c:pt>
                <c:pt idx="19">
                  <c:v>142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141</c:v>
                </c:pt>
                <c:pt idx="25">
                  <c:v>144</c:v>
                </c:pt>
                <c:pt idx="26">
                  <c:v>128</c:v>
                </c:pt>
                <c:pt idx="27">
                  <c:v>90</c:v>
                </c:pt>
                <c:pt idx="28">
                  <c:v>119</c:v>
                </c:pt>
                <c:pt idx="29">
                  <c:v>127</c:v>
                </c:pt>
                <c:pt idx="30">
                  <c:v>135</c:v>
                </c:pt>
                <c:pt idx="31">
                  <c:v>137</c:v>
                </c:pt>
                <c:pt idx="32">
                  <c:v>138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136</c:v>
                </c:pt>
                <c:pt idx="37">
                  <c:v>140</c:v>
                </c:pt>
                <c:pt idx="38">
                  <c:v>141</c:v>
                </c:pt>
                <c:pt idx="39">
                  <c:v>147</c:v>
                </c:pt>
                <c:pt idx="40">
                  <c:v>144</c:v>
                </c:pt>
                <c:pt idx="41">
                  <c:v>123</c:v>
                </c:pt>
                <c:pt idx="42">
                  <c:v>123</c:v>
                </c:pt>
                <c:pt idx="43">
                  <c:v>127</c:v>
                </c:pt>
                <c:pt idx="44">
                  <c:v>133</c:v>
                </c:pt>
                <c:pt idx="45">
                  <c:v>138</c:v>
                </c:pt>
                <c:pt idx="46">
                  <c:v>140</c:v>
                </c:pt>
                <c:pt idx="47">
                  <c:v>138</c:v>
                </c:pt>
                <c:pt idx="48">
                  <c:v>143</c:v>
                </c:pt>
                <c:pt idx="49">
                  <c:v>151</c:v>
                </c:pt>
                <c:pt idx="50">
                  <c:v>152</c:v>
                </c:pt>
                <c:pt idx="51">
                  <c:v>176</c:v>
                </c:pt>
                <c:pt idx="52">
                  <c:v>172</c:v>
                </c:pt>
                <c:pt idx="53">
                  <c:v>162</c:v>
                </c:pt>
                <c:pt idx="54">
                  <c:v>177</c:v>
                </c:pt>
                <c:pt idx="55">
                  <c:v>169</c:v>
                </c:pt>
                <c:pt idx="56">
                  <c:v>175</c:v>
                </c:pt>
                <c:pt idx="57">
                  <c:v>167</c:v>
                </c:pt>
                <c:pt idx="58">
                  <c:v>168</c:v>
                </c:pt>
                <c:pt idx="59">
                  <c:v>166</c:v>
                </c:pt>
                <c:pt idx="60">
                  <c:v>165</c:v>
                </c:pt>
                <c:pt idx="61">
                  <c:v>169</c:v>
                </c:pt>
                <c:pt idx="62">
                  <c:v>173</c:v>
                </c:pt>
                <c:pt idx="63">
                  <c:v>174</c:v>
                </c:pt>
                <c:pt idx="64">
                  <c:v>170</c:v>
                </c:pt>
                <c:pt idx="65">
                  <c:v>171</c:v>
                </c:pt>
                <c:pt idx="66">
                  <c:v>173</c:v>
                </c:pt>
                <c:pt idx="67">
                  <c:v>173</c:v>
                </c:pt>
                <c:pt idx="68">
                  <c:v>175</c:v>
                </c:pt>
                <c:pt idx="69">
                  <c:v>172</c:v>
                </c:pt>
                <c:pt idx="70">
                  <c:v>172</c:v>
                </c:pt>
                <c:pt idx="71">
                  <c:v>172</c:v>
                </c:pt>
                <c:pt idx="72">
                  <c:v>173</c:v>
                </c:pt>
                <c:pt idx="73">
                  <c:v>177</c:v>
                </c:pt>
                <c:pt idx="74">
                  <c:v>178</c:v>
                </c:pt>
                <c:pt idx="75">
                  <c:v>178</c:v>
                </c:pt>
                <c:pt idx="76">
                  <c:v>178</c:v>
                </c:pt>
                <c:pt idx="77">
                  <c:v>180</c:v>
                </c:pt>
                <c:pt idx="78">
                  <c:v>180</c:v>
                </c:pt>
                <c:pt idx="79">
                  <c:v>182</c:v>
                </c:pt>
                <c:pt idx="80">
                  <c:v>182</c:v>
                </c:pt>
                <c:pt idx="81">
                  <c:v>181</c:v>
                </c:pt>
                <c:pt idx="82">
                  <c:v>180</c:v>
                </c:pt>
                <c:pt idx="83">
                  <c:v>181</c:v>
                </c:pt>
                <c:pt idx="84">
                  <c:v>185</c:v>
                </c:pt>
                <c:pt idx="85">
                  <c:v>181</c:v>
                </c:pt>
                <c:pt idx="86">
                  <c:v>186</c:v>
                </c:pt>
                <c:pt idx="87">
                  <c:v>185</c:v>
                </c:pt>
                <c:pt idx="88">
                  <c:v>186</c:v>
                </c:pt>
                <c:pt idx="89">
                  <c:v>187</c:v>
                </c:pt>
                <c:pt idx="90">
                  <c:v>186</c:v>
                </c:pt>
                <c:pt idx="91">
                  <c:v>186</c:v>
                </c:pt>
                <c:pt idx="92">
                  <c:v>190</c:v>
                </c:pt>
                <c:pt idx="93">
                  <c:v>190</c:v>
                </c:pt>
                <c:pt idx="94">
                  <c:v>190</c:v>
                </c:pt>
                <c:pt idx="95">
                  <c:v>193</c:v>
                </c:pt>
                <c:pt idx="96">
                  <c:v>192</c:v>
                </c:pt>
                <c:pt idx="97">
                  <c:v>191</c:v>
                </c:pt>
                <c:pt idx="98">
                  <c:v>196</c:v>
                </c:pt>
                <c:pt idx="99">
                  <c:v>192</c:v>
                </c:pt>
                <c:pt idx="100">
                  <c:v>194</c:v>
                </c:pt>
                <c:pt idx="101">
                  <c:v>195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Volume!$L$3:$L$4</c:f>
              <c:strCache>
                <c:ptCount val="1"/>
                <c:pt idx="0">
                  <c:v>Wholesale Trade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Volume!$I$5:$I$107</c:f>
              <c:strCache>
                <c:ptCount val="102"/>
                <c:pt idx="0">
                  <c:v>Jan-18</c:v>
                </c:pt>
                <c:pt idx="1">
                  <c:v>Feb-18</c:v>
                </c:pt>
                <c:pt idx="2">
                  <c:v>Mar-18</c:v>
                </c:pt>
                <c:pt idx="3">
                  <c:v>Apr-18</c:v>
                </c:pt>
                <c:pt idx="4">
                  <c:v>May-18</c:v>
                </c:pt>
                <c:pt idx="5">
                  <c:v>Jun-18</c:v>
                </c:pt>
                <c:pt idx="6">
                  <c:v>Jul-18</c:v>
                </c:pt>
                <c:pt idx="7">
                  <c:v>Aug-18</c:v>
                </c:pt>
                <c:pt idx="8">
                  <c:v>Sep-18</c:v>
                </c:pt>
                <c:pt idx="9">
                  <c:v>Oct-18</c:v>
                </c:pt>
                <c:pt idx="10">
                  <c:v>Nov-18</c:v>
                </c:pt>
                <c:pt idx="11">
                  <c:v>Dec-18</c:v>
                </c:pt>
                <c:pt idx="12">
                  <c:v>Jan-19</c:v>
                </c:pt>
                <c:pt idx="13">
                  <c:v>Feb-19</c:v>
                </c:pt>
                <c:pt idx="14">
                  <c:v>Mar-19</c:v>
                </c:pt>
                <c:pt idx="15">
                  <c:v>Apr-19</c:v>
                </c:pt>
                <c:pt idx="16">
                  <c:v>May-19</c:v>
                </c:pt>
                <c:pt idx="17">
                  <c:v>Jun-19</c:v>
                </c:pt>
                <c:pt idx="18">
                  <c:v>Jul-19</c:v>
                </c:pt>
                <c:pt idx="19">
                  <c:v>Aug-19</c:v>
                </c:pt>
                <c:pt idx="20">
                  <c:v>Sep-19</c:v>
                </c:pt>
                <c:pt idx="21">
                  <c:v>Oct-19</c:v>
                </c:pt>
                <c:pt idx="22">
                  <c:v>Nov-19</c:v>
                </c:pt>
                <c:pt idx="23">
                  <c:v>Dec-19</c:v>
                </c:pt>
                <c:pt idx="24">
                  <c:v>Jan-20</c:v>
                </c:pt>
                <c:pt idx="25">
                  <c:v>Feb-20</c:v>
                </c:pt>
                <c:pt idx="26">
                  <c:v>Mar-20</c:v>
                </c:pt>
                <c:pt idx="27">
                  <c:v>Apr-20</c:v>
                </c:pt>
                <c:pt idx="28">
                  <c:v>May-20</c:v>
                </c:pt>
                <c:pt idx="29">
                  <c:v>Jun-20</c:v>
                </c:pt>
                <c:pt idx="30">
                  <c:v>Jul-20</c:v>
                </c:pt>
                <c:pt idx="31">
                  <c:v>Aug-20</c:v>
                </c:pt>
                <c:pt idx="32">
                  <c:v>Sep-20</c:v>
                </c:pt>
                <c:pt idx="33">
                  <c:v>Oct-20</c:v>
                </c:pt>
                <c:pt idx="34">
                  <c:v>Nov-20</c:v>
                </c:pt>
                <c:pt idx="35">
                  <c:v>Dec-20</c:v>
                </c:pt>
                <c:pt idx="36">
                  <c:v>Jan-21</c:v>
                </c:pt>
                <c:pt idx="37">
                  <c:v>Feb-21</c:v>
                </c:pt>
                <c:pt idx="38">
                  <c:v>Mar-21</c:v>
                </c:pt>
                <c:pt idx="39">
                  <c:v>Apr-21</c:v>
                </c:pt>
                <c:pt idx="40">
                  <c:v>May-21</c:v>
                </c:pt>
                <c:pt idx="41">
                  <c:v>Jun-21</c:v>
                </c:pt>
                <c:pt idx="42">
                  <c:v>Jul-21</c:v>
                </c:pt>
                <c:pt idx="43">
                  <c:v>Aug-21</c:v>
                </c:pt>
                <c:pt idx="44">
                  <c:v>Sep-21</c:v>
                </c:pt>
                <c:pt idx="45">
                  <c:v>Oct-21</c:v>
                </c:pt>
                <c:pt idx="46">
                  <c:v>Nov-21</c:v>
                </c:pt>
                <c:pt idx="47">
                  <c:v>Dec-21</c:v>
                </c:pt>
                <c:pt idx="48">
                  <c:v>Jan-22</c:v>
                </c:pt>
                <c:pt idx="49">
                  <c:v>Feb-22</c:v>
                </c:pt>
                <c:pt idx="50">
                  <c:v>Mar-22</c:v>
                </c:pt>
                <c:pt idx="51">
                  <c:v>Apr-22</c:v>
                </c:pt>
                <c:pt idx="52">
                  <c:v>May-22</c:v>
                </c:pt>
                <c:pt idx="53">
                  <c:v>Jun-22</c:v>
                </c:pt>
                <c:pt idx="54">
                  <c:v>Jul-22</c:v>
                </c:pt>
                <c:pt idx="55">
                  <c:v>Aug-22</c:v>
                </c:pt>
                <c:pt idx="56">
                  <c:v>Sep-22</c:v>
                </c:pt>
                <c:pt idx="57">
                  <c:v>Oct-22</c:v>
                </c:pt>
                <c:pt idx="58">
                  <c:v>Nov-22</c:v>
                </c:pt>
                <c:pt idx="59">
                  <c:v>Dec-22</c:v>
                </c:pt>
                <c:pt idx="60">
                  <c:v>Jan-23</c:v>
                </c:pt>
                <c:pt idx="61">
                  <c:v>Feb-23</c:v>
                </c:pt>
                <c:pt idx="62">
                  <c:v>Mar-23</c:v>
                </c:pt>
                <c:pt idx="63">
                  <c:v>Apr-23</c:v>
                </c:pt>
                <c:pt idx="64">
                  <c:v>May-23</c:v>
                </c:pt>
                <c:pt idx="65">
                  <c:v>Jun-23</c:v>
                </c:pt>
                <c:pt idx="66">
                  <c:v>Jul-23</c:v>
                </c:pt>
                <c:pt idx="67">
                  <c:v>Aug-23</c:v>
                </c:pt>
                <c:pt idx="68">
                  <c:v>Sep-23</c:v>
                </c:pt>
                <c:pt idx="69">
                  <c:v>Oct-23</c:v>
                </c:pt>
                <c:pt idx="70">
                  <c:v>Nov-23</c:v>
                </c:pt>
                <c:pt idx="71">
                  <c:v>Dec-23</c:v>
                </c:pt>
                <c:pt idx="72">
                  <c:v>Jan-24</c:v>
                </c:pt>
                <c:pt idx="73">
                  <c:v>Feb-24</c:v>
                </c:pt>
                <c:pt idx="74">
                  <c:v>Mar-24</c:v>
                </c:pt>
                <c:pt idx="75">
                  <c:v>Apr-24</c:v>
                </c:pt>
                <c:pt idx="76">
                  <c:v>May-24</c:v>
                </c:pt>
                <c:pt idx="77">
                  <c:v>Jun-24</c:v>
                </c:pt>
                <c:pt idx="78">
                  <c:v>Jul-24</c:v>
                </c:pt>
                <c:pt idx="79">
                  <c:v>Aug-24</c:v>
                </c:pt>
                <c:pt idx="80">
                  <c:v>Sep-24</c:v>
                </c:pt>
                <c:pt idx="81">
                  <c:v>Oct-24</c:v>
                </c:pt>
                <c:pt idx="82">
                  <c:v>Nov-24</c:v>
                </c:pt>
                <c:pt idx="83">
                  <c:v>Dec-24</c:v>
                </c:pt>
                <c:pt idx="84">
                  <c:v>Jan-25</c:v>
                </c:pt>
                <c:pt idx="85">
                  <c:v>Feb-25</c:v>
                </c:pt>
                <c:pt idx="86">
                  <c:v>Mar-25</c:v>
                </c:pt>
                <c:pt idx="87">
                  <c:v>Apr-25</c:v>
                </c:pt>
                <c:pt idx="88">
                  <c:v>May-25</c:v>
                </c:pt>
                <c:pt idx="89">
                  <c:v>Jun-25</c:v>
                </c:pt>
                <c:pt idx="90">
                  <c:v>Jul-25</c:v>
                </c:pt>
                <c:pt idx="91">
                  <c:v>Aug-25</c:v>
                </c:pt>
                <c:pt idx="92">
                  <c:v>Sep-25</c:v>
                </c:pt>
                <c:pt idx="93">
                  <c:v>Oct-25</c:v>
                </c:pt>
                <c:pt idx="94">
                  <c:v>Nov-25</c:v>
                </c:pt>
                <c:pt idx="95">
                  <c:v>Dec-25</c:v>
                </c:pt>
                <c:pt idx="96">
                  <c:v>Jan-26</c:v>
                </c:pt>
                <c:pt idx="97">
                  <c:v>Feb-26</c:v>
                </c:pt>
                <c:pt idx="98">
                  <c:v>Mar-26</c:v>
                </c:pt>
                <c:pt idx="99">
                  <c:v>Apr-26</c:v>
                </c:pt>
                <c:pt idx="100">
                  <c:v>May-26</c:v>
                </c:pt>
                <c:pt idx="101">
                  <c:v>Jun-26</c:v>
                </c:pt>
              </c:strCache>
            </c:strRef>
          </c:cat>
          <c:val>
            <c:numRef>
              <c:f>Volume!$L$5:$L$107</c:f>
              <c:numCache>
                <c:formatCode>General</c:formatCode>
                <c:ptCount val="102"/>
                <c:pt idx="0">
                  <c:v>119</c:v>
                </c:pt>
                <c:pt idx="1">
                  <c:v>120</c:v>
                </c:pt>
                <c:pt idx="2">
                  <c:v>120</c:v>
                </c:pt>
                <c:pt idx="3">
                  <c:v>121</c:v>
                </c:pt>
                <c:pt idx="4">
                  <c:v>122</c:v>
                </c:pt>
                <c:pt idx="5">
                  <c:v>122</c:v>
                </c:pt>
                <c:pt idx="6">
                  <c:v>123</c:v>
                </c:pt>
                <c:pt idx="7">
                  <c:v>125</c:v>
                </c:pt>
                <c:pt idx="8">
                  <c:v>126</c:v>
                </c:pt>
                <c:pt idx="9">
                  <c:v>126</c:v>
                </c:pt>
                <c:pt idx="10">
                  <c:v>126</c:v>
                </c:pt>
                <c:pt idx="11">
                  <c:v>125</c:v>
                </c:pt>
                <c:pt idx="12">
                  <c:v>125</c:v>
                </c:pt>
                <c:pt idx="13">
                  <c:v>125</c:v>
                </c:pt>
                <c:pt idx="14">
                  <c:v>124</c:v>
                </c:pt>
                <c:pt idx="15">
                  <c:v>126</c:v>
                </c:pt>
                <c:pt idx="16">
                  <c:v>127</c:v>
                </c:pt>
                <c:pt idx="17">
                  <c:v>129</c:v>
                </c:pt>
                <c:pt idx="18">
                  <c:v>130</c:v>
                </c:pt>
                <c:pt idx="19">
                  <c:v>131</c:v>
                </c:pt>
                <c:pt idx="20">
                  <c:v>131</c:v>
                </c:pt>
                <c:pt idx="21">
                  <c:v>131</c:v>
                </c:pt>
                <c:pt idx="22">
                  <c:v>131</c:v>
                </c:pt>
                <c:pt idx="23">
                  <c:v>132</c:v>
                </c:pt>
                <c:pt idx="24">
                  <c:v>128</c:v>
                </c:pt>
                <c:pt idx="25">
                  <c:v>131</c:v>
                </c:pt>
                <c:pt idx="26">
                  <c:v>125</c:v>
                </c:pt>
                <c:pt idx="27">
                  <c:v>93</c:v>
                </c:pt>
                <c:pt idx="28">
                  <c:v>101</c:v>
                </c:pt>
                <c:pt idx="29">
                  <c:v>123</c:v>
                </c:pt>
                <c:pt idx="30">
                  <c:v>127</c:v>
                </c:pt>
                <c:pt idx="31">
                  <c:v>125</c:v>
                </c:pt>
                <c:pt idx="32">
                  <c:v>125</c:v>
                </c:pt>
                <c:pt idx="33">
                  <c:v>127</c:v>
                </c:pt>
                <c:pt idx="34">
                  <c:v>127</c:v>
                </c:pt>
                <c:pt idx="35">
                  <c:v>128</c:v>
                </c:pt>
                <c:pt idx="36">
                  <c:v>128</c:v>
                </c:pt>
                <c:pt idx="37">
                  <c:v>131</c:v>
                </c:pt>
                <c:pt idx="38">
                  <c:v>129</c:v>
                </c:pt>
                <c:pt idx="39">
                  <c:v>133</c:v>
                </c:pt>
                <c:pt idx="40">
                  <c:v>129</c:v>
                </c:pt>
                <c:pt idx="41">
                  <c:v>123</c:v>
                </c:pt>
                <c:pt idx="42">
                  <c:v>123</c:v>
                </c:pt>
                <c:pt idx="43">
                  <c:v>120</c:v>
                </c:pt>
                <c:pt idx="44">
                  <c:v>122</c:v>
                </c:pt>
                <c:pt idx="45">
                  <c:v>124</c:v>
                </c:pt>
                <c:pt idx="46">
                  <c:v>128</c:v>
                </c:pt>
                <c:pt idx="47">
                  <c:v>128</c:v>
                </c:pt>
                <c:pt idx="48">
                  <c:v>129</c:v>
                </c:pt>
                <c:pt idx="49">
                  <c:v>131</c:v>
                </c:pt>
                <c:pt idx="50">
                  <c:v>130</c:v>
                </c:pt>
                <c:pt idx="51">
                  <c:v>139</c:v>
                </c:pt>
                <c:pt idx="52">
                  <c:v>133</c:v>
                </c:pt>
                <c:pt idx="53">
                  <c:v>135</c:v>
                </c:pt>
                <c:pt idx="54">
                  <c:v>135</c:v>
                </c:pt>
                <c:pt idx="55">
                  <c:v>130</c:v>
                </c:pt>
                <c:pt idx="56">
                  <c:v>128</c:v>
                </c:pt>
                <c:pt idx="57">
                  <c:v>127</c:v>
                </c:pt>
                <c:pt idx="58">
                  <c:v>129</c:v>
                </c:pt>
                <c:pt idx="59">
                  <c:v>129</c:v>
                </c:pt>
                <c:pt idx="60">
                  <c:v>130</c:v>
                </c:pt>
                <c:pt idx="61">
                  <c:v>134</c:v>
                </c:pt>
                <c:pt idx="62">
                  <c:v>141</c:v>
                </c:pt>
                <c:pt idx="63">
                  <c:v>135</c:v>
                </c:pt>
                <c:pt idx="64">
                  <c:v>139</c:v>
                </c:pt>
                <c:pt idx="65">
                  <c:v>140</c:v>
                </c:pt>
                <c:pt idx="66">
                  <c:v>142</c:v>
                </c:pt>
                <c:pt idx="67">
                  <c:v>140</c:v>
                </c:pt>
                <c:pt idx="68">
                  <c:v>138</c:v>
                </c:pt>
                <c:pt idx="69">
                  <c:v>136</c:v>
                </c:pt>
                <c:pt idx="70">
                  <c:v>137</c:v>
                </c:pt>
                <c:pt idx="71">
                  <c:v>137</c:v>
                </c:pt>
                <c:pt idx="72">
                  <c:v>138</c:v>
                </c:pt>
                <c:pt idx="73">
                  <c:v>140</c:v>
                </c:pt>
                <c:pt idx="74">
                  <c:v>140</c:v>
                </c:pt>
                <c:pt idx="75">
                  <c:v>139</c:v>
                </c:pt>
                <c:pt idx="76">
                  <c:v>142</c:v>
                </c:pt>
                <c:pt idx="77">
                  <c:v>143</c:v>
                </c:pt>
                <c:pt idx="78">
                  <c:v>147</c:v>
                </c:pt>
                <c:pt idx="79">
                  <c:v>146</c:v>
                </c:pt>
                <c:pt idx="80">
                  <c:v>146</c:v>
                </c:pt>
                <c:pt idx="81">
                  <c:v>146</c:v>
                </c:pt>
                <c:pt idx="82">
                  <c:v>145</c:v>
                </c:pt>
                <c:pt idx="83">
                  <c:v>145</c:v>
                </c:pt>
                <c:pt idx="84">
                  <c:v>146</c:v>
                </c:pt>
                <c:pt idx="85">
                  <c:v>144</c:v>
                </c:pt>
                <c:pt idx="86">
                  <c:v>148</c:v>
                </c:pt>
                <c:pt idx="87">
                  <c:v>148</c:v>
                </c:pt>
                <c:pt idx="88">
                  <c:v>150</c:v>
                </c:pt>
                <c:pt idx="89">
                  <c:v>151</c:v>
                </c:pt>
                <c:pt idx="90">
                  <c:v>155</c:v>
                </c:pt>
                <c:pt idx="91">
                  <c:v>154</c:v>
                </c:pt>
                <c:pt idx="92">
                  <c:v>156</c:v>
                </c:pt>
                <c:pt idx="93">
                  <c:v>157</c:v>
                </c:pt>
                <c:pt idx="94">
                  <c:v>154</c:v>
                </c:pt>
                <c:pt idx="95">
                  <c:v>156</c:v>
                </c:pt>
                <c:pt idx="96">
                  <c:v>155</c:v>
                </c:pt>
                <c:pt idx="97">
                  <c:v>153</c:v>
                </c:pt>
                <c:pt idx="98">
                  <c:v>157</c:v>
                </c:pt>
                <c:pt idx="99">
                  <c:v>159</c:v>
                </c:pt>
                <c:pt idx="100">
                  <c:v>155</c:v>
                </c:pt>
                <c:pt idx="101">
                  <c:v>157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9974887"/>
        <c:axId val="792210796"/>
      </c:lineChart>
      <c:catAx>
        <c:axId val="50997488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2210796"/>
        <c:crosses val="autoZero"/>
        <c:auto val="1"/>
        <c:lblAlgn val="ctr"/>
        <c:lblOffset val="100"/>
        <c:noMultiLvlLbl val="0"/>
      </c:catAx>
      <c:valAx>
        <c:axId val="7922107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9974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0040b1-313e-4593-aeee-8c7b8ade473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412750</xdr:colOff>
      <xdr:row>1</xdr:row>
      <xdr:rowOff>177800</xdr:rowOff>
    </xdr:from>
    <xdr:to>
      <xdr:col>10</xdr:col>
      <xdr:colOff>546100</xdr:colOff>
      <xdr:row>16</xdr:row>
      <xdr:rowOff>158750</xdr:rowOff>
    </xdr:to>
    <xdr:graphicFrame>
      <xdr:nvGraphicFramePr>
        <xdr:cNvPr id="3" name="Chart 2"/>
        <xdr:cNvGraphicFramePr/>
      </xdr:nvGraphicFramePr>
      <xdr:xfrm>
        <a:off x="5429250" y="3619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12700</xdr:colOff>
      <xdr:row>18</xdr:row>
      <xdr:rowOff>12700</xdr:rowOff>
    </xdr:from>
    <xdr:to>
      <xdr:col>2</xdr:col>
      <xdr:colOff>1029970</xdr:colOff>
      <xdr:row>30</xdr:row>
      <xdr:rowOff>95885</xdr:rowOff>
    </xdr:to>
    <xdr:graphicFrame>
      <xdr:nvGraphicFramePr>
        <xdr:cNvPr id="3" name="Chart 2"/>
        <xdr:cNvGraphicFramePr/>
      </xdr:nvGraphicFramePr>
      <xdr:xfrm>
        <a:off x="12700" y="3883025"/>
        <a:ext cx="4331970" cy="2292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433070</xdr:colOff>
      <xdr:row>18</xdr:row>
      <xdr:rowOff>44450</xdr:rowOff>
    </xdr:from>
    <xdr:to>
      <xdr:col>6</xdr:col>
      <xdr:colOff>1403350</xdr:colOff>
      <xdr:row>30</xdr:row>
      <xdr:rowOff>32385</xdr:rowOff>
    </xdr:to>
    <xdr:graphicFrame>
      <xdr:nvGraphicFramePr>
        <xdr:cNvPr id="4" name="Chart 3"/>
        <xdr:cNvGraphicFramePr/>
      </xdr:nvGraphicFramePr>
      <xdr:xfrm>
        <a:off x="4878070" y="3914775"/>
        <a:ext cx="4481830" cy="2197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514350</xdr:colOff>
      <xdr:row>33</xdr:row>
      <xdr:rowOff>171450</xdr:rowOff>
    </xdr:from>
    <xdr:to>
      <xdr:col>4</xdr:col>
      <xdr:colOff>368300</xdr:colOff>
      <xdr:row>43</xdr:row>
      <xdr:rowOff>123825</xdr:rowOff>
    </xdr:to>
    <xdr:graphicFrame>
      <xdr:nvGraphicFramePr>
        <xdr:cNvPr id="8" name="Chart 7"/>
        <xdr:cNvGraphicFramePr/>
      </xdr:nvGraphicFramePr>
      <xdr:xfrm>
        <a:off x="514350" y="6883400"/>
        <a:ext cx="4965700" cy="180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680085</xdr:colOff>
      <xdr:row>48</xdr:row>
      <xdr:rowOff>0</xdr:rowOff>
    </xdr:from>
    <xdr:to>
      <xdr:col>6</xdr:col>
      <xdr:colOff>760095</xdr:colOff>
      <xdr:row>61</xdr:row>
      <xdr:rowOff>183515</xdr:rowOff>
    </xdr:to>
    <xdr:graphicFrame>
      <xdr:nvGraphicFramePr>
        <xdr:cNvPr id="9" name="Chart 8"/>
        <xdr:cNvGraphicFramePr/>
      </xdr:nvGraphicFramePr>
      <xdr:xfrm>
        <a:off x="680085" y="9572625"/>
        <a:ext cx="8036560" cy="2577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298450</xdr:colOff>
      <xdr:row>3</xdr:row>
      <xdr:rowOff>89535</xdr:rowOff>
    </xdr:from>
    <xdr:to>
      <xdr:col>1</xdr:col>
      <xdr:colOff>137795</xdr:colOff>
      <xdr:row>5</xdr:row>
      <xdr:rowOff>83185</xdr:rowOff>
    </xdr:to>
    <xdr:sp>
      <xdr:nvSpPr>
        <xdr:cNvPr id="11" name="Text Box 10"/>
        <xdr:cNvSpPr txBox="1"/>
      </xdr:nvSpPr>
      <xdr:spPr>
        <a:xfrm>
          <a:off x="298450" y="756285"/>
          <a:ext cx="1909445" cy="361950"/>
        </a:xfrm>
        <a:prstGeom prst="rect">
          <a:avLst/>
        </a:prstGeom>
        <a:gradFill>
          <a:gsLst>
            <a:gs pos="96000">
              <a:srgbClr val="FDBE29"/>
            </a:gs>
            <a:gs pos="0">
              <a:srgbClr val="FFDC90"/>
            </a:gs>
          </a:gsLst>
          <a:path path="circle">
            <a:fillToRect t="100000" r="100000"/>
          </a:path>
          <a:tileRect l="-100000" b="-10000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p>
          <a:pPr algn="ctr"/>
          <a:r>
            <a:rPr lang="en-US" sz="1100"/>
            <a:t>Total Sales(RM millions)</a:t>
          </a:r>
          <a:endParaRPr lang="en-US" sz="1100"/>
        </a:p>
      </xdr:txBody>
    </xdr:sp>
    <xdr:clientData/>
  </xdr:twoCellAnchor>
  <xdr:twoCellAnchor>
    <xdr:from>
      <xdr:col>1</xdr:col>
      <xdr:colOff>914400</xdr:colOff>
      <xdr:row>3</xdr:row>
      <xdr:rowOff>107950</xdr:rowOff>
    </xdr:from>
    <xdr:to>
      <xdr:col>4</xdr:col>
      <xdr:colOff>94615</xdr:colOff>
      <xdr:row>5</xdr:row>
      <xdr:rowOff>64770</xdr:rowOff>
    </xdr:to>
    <xdr:sp>
      <xdr:nvSpPr>
        <xdr:cNvPr id="12" name="Text Box 11"/>
        <xdr:cNvSpPr txBox="1"/>
      </xdr:nvSpPr>
      <xdr:spPr>
        <a:xfrm>
          <a:off x="2984500" y="774700"/>
          <a:ext cx="2221865" cy="325120"/>
        </a:xfrm>
        <a:prstGeom prst="rect">
          <a:avLst/>
        </a:prstGeom>
        <a:gradFill>
          <a:gsLst>
            <a:gs pos="96000">
              <a:srgbClr val="FDBE29"/>
            </a:gs>
            <a:gs pos="0">
              <a:srgbClr val="FFDC90"/>
            </a:gs>
          </a:gsLst>
          <a:path path="circle">
            <a:fillToRect t="100000" r="100000"/>
          </a:path>
          <a:tileRect l="-100000" b="-10000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Motor Vehicles &amp; Motorcycles</a:t>
          </a:r>
          <a:endParaRPr lang="en-US" sz="1100"/>
        </a:p>
      </xdr:txBody>
    </xdr:sp>
    <xdr:clientData/>
  </xdr:twoCellAnchor>
  <xdr:twoCellAnchor>
    <xdr:from>
      <xdr:col>4</xdr:col>
      <xdr:colOff>610235</xdr:colOff>
      <xdr:row>3</xdr:row>
      <xdr:rowOff>120015</xdr:rowOff>
    </xdr:from>
    <xdr:to>
      <xdr:col>5</xdr:col>
      <xdr:colOff>1083310</xdr:colOff>
      <xdr:row>5</xdr:row>
      <xdr:rowOff>77470</xdr:rowOff>
    </xdr:to>
    <xdr:sp>
      <xdr:nvSpPr>
        <xdr:cNvPr id="13" name="Text Box 12"/>
        <xdr:cNvSpPr txBox="1"/>
      </xdr:nvSpPr>
      <xdr:spPr>
        <a:xfrm>
          <a:off x="5721985" y="786765"/>
          <a:ext cx="1330325" cy="325755"/>
        </a:xfrm>
        <a:prstGeom prst="rect">
          <a:avLst/>
        </a:prstGeom>
        <a:gradFill>
          <a:gsLst>
            <a:gs pos="96000">
              <a:srgbClr val="FDBE29"/>
            </a:gs>
            <a:gs pos="0">
              <a:srgbClr val="FFDC90"/>
            </a:gs>
          </a:gsLst>
          <a:path path="circle">
            <a:fillToRect t="100000" r="100000"/>
          </a:path>
          <a:tileRect l="-100000" b="-10000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Wholesale Trade</a:t>
          </a:r>
          <a:endParaRPr lang="en-US" sz="1100"/>
        </a:p>
      </xdr:txBody>
    </xdr:sp>
    <xdr:clientData/>
  </xdr:twoCellAnchor>
  <xdr:twoCellAnchor>
    <xdr:from>
      <xdr:col>5</xdr:col>
      <xdr:colOff>1936750</xdr:colOff>
      <xdr:row>3</xdr:row>
      <xdr:rowOff>146050</xdr:rowOff>
    </xdr:from>
    <xdr:to>
      <xdr:col>6</xdr:col>
      <xdr:colOff>1257300</xdr:colOff>
      <xdr:row>5</xdr:row>
      <xdr:rowOff>83820</xdr:rowOff>
    </xdr:to>
    <xdr:sp>
      <xdr:nvSpPr>
        <xdr:cNvPr id="14" name="Text Box 13"/>
        <xdr:cNvSpPr txBox="1"/>
      </xdr:nvSpPr>
      <xdr:spPr>
        <a:xfrm>
          <a:off x="7905750" y="812800"/>
          <a:ext cx="1308100" cy="306070"/>
        </a:xfrm>
        <a:prstGeom prst="rect">
          <a:avLst/>
        </a:prstGeom>
        <a:gradFill>
          <a:gsLst>
            <a:gs pos="96000">
              <a:srgbClr val="FDBE29"/>
            </a:gs>
            <a:gs pos="0">
              <a:srgbClr val="FFDC90"/>
            </a:gs>
          </a:gsLst>
          <a:path path="circle">
            <a:fillToRect t="100000" r="100000"/>
          </a:path>
          <a:tileRect l="-100000" b="-10000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Retail Trade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4.8738078704" refreshedBy="alice" recordCount="36">
  <cacheSource type="worksheet">
    <worksheetSource ref="A3:E39" sheet="2025_Monthly_Sales_Trend"/>
  </cacheSource>
  <cacheFields count="5">
    <cacheField name="month" numFmtId="0">
      <sharedItems containsSemiMixedTypes="0" containsString="0" containsNumber="1" containsInteger="1" minValue="0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_name" numFmtId="0">
      <sharedItems count="23">
        <s v="Jan"/>
        <s v="Feb"/>
        <s v="Mar"/>
        <s v="Apr"/>
        <s v="May"/>
        <s v="Jun"/>
        <s v="Jul"/>
        <s v="Aug"/>
        <s v="Sep"/>
        <s v="Oct"/>
        <s v="Nov"/>
        <s v="Dec"/>
        <s v="January" u="1"/>
        <s v="February" u="1"/>
        <s v="March" u="1"/>
        <s v="April" u="1"/>
        <s v="June" u="1"/>
        <s v="July" u="1"/>
        <s v="August" u="1"/>
        <s v="September" u="1"/>
        <s v="October" u="1"/>
        <s v="November" u="1"/>
        <s v="December" u="1"/>
      </sharedItems>
    </cacheField>
    <cacheField name="division" numFmtId="0">
      <sharedItems containsSemiMixedTypes="0" containsString="0" containsNumber="1" containsInteger="1" minValue="0" maxValue="47" count="3">
        <n v="45"/>
        <n v="46"/>
        <n v="47"/>
      </sharedItems>
    </cacheField>
    <cacheField name="division_name" numFmtId="0">
      <sharedItems count="3">
        <s v="Motor Vehicles &amp; Motorcycles"/>
        <s v="Wholesale Trade"/>
        <s v="Retail Trade"/>
      </sharedItems>
    </cacheField>
    <cacheField name="monthly_sales(RM millions)" numFmtId="4">
      <sharedItems containsSemiMixedTypes="0" containsString="0" containsNumber="1" containsInteger="1" minValue="0" maxValue="71173" count="35">
        <n v="16009"/>
        <n v="66783"/>
        <n v="66118"/>
        <n v="17626"/>
        <n v="65799"/>
        <n v="65070"/>
        <n v="19243"/>
        <n v="67755"/>
        <n v="66984"/>
        <n v="67321"/>
        <n v="66759"/>
        <n v="19069"/>
        <n v="68204"/>
        <n v="67068"/>
        <n v="17133"/>
        <n v="68295"/>
        <n v="67542"/>
        <n v="19286"/>
        <n v="70130"/>
        <n v="67013"/>
        <n v="19618"/>
        <n v="69642"/>
        <n v="67327"/>
        <n v="18041"/>
        <n v="71054"/>
        <n v="68916"/>
        <n v="20412"/>
        <n v="71173"/>
        <n v="69325"/>
        <n v="19790"/>
        <n v="70144"/>
        <n v="69015"/>
        <n v="22277"/>
        <n v="71067"/>
        <n v="7037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4.6612384259" refreshedBy="alice" recordCount="27">
  <cacheSource type="worksheet">
    <worksheetSource ref="A3:D30" sheet="Sales Trend by Year"/>
  </cacheSource>
  <cacheFields count="4">
    <cacheField name="year" numFmtId="0">
      <sharedItems containsSemiMixedTypes="0" containsString="0" containsNumber="1" containsInteger="1" minValue="0" maxValue="2026" count="9">
        <n v="2018"/>
        <n v="2019"/>
        <n v="2020"/>
        <n v="2021"/>
        <n v="2022"/>
        <n v="2023"/>
        <n v="2024"/>
        <n v="2025"/>
        <n v="2026"/>
      </sharedItems>
    </cacheField>
    <cacheField name="division" numFmtId="0">
      <sharedItems containsSemiMixedTypes="0" containsString="0" containsNumber="1" containsInteger="1" minValue="0" maxValue="47" count="3">
        <n v="45"/>
        <n v="46"/>
        <n v="47"/>
      </sharedItems>
    </cacheField>
    <cacheField name="division_name" numFmtId="0">
      <sharedItems count="3">
        <s v="Motor Vehicles &amp; Motorcycles"/>
        <s v="Wholesale Trade"/>
        <s v="Retail Trade"/>
      </sharedItems>
    </cacheField>
    <cacheField name="total_sales(RM millions)" numFmtId="4">
      <sharedItems containsSemiMixedTypes="0" containsString="0" containsNumber="1" containsInteger="1" minValue="0" maxValue="827367" count="27">
        <n v="146679"/>
        <n v="605474"/>
        <n v="499995"/>
        <n v="150623"/>
        <n v="638222"/>
        <n v="537599"/>
        <n v="135094"/>
        <n v="603311"/>
        <n v="511008"/>
        <n v="124105"/>
        <n v="641756"/>
        <n v="533563"/>
        <n v="183173"/>
        <n v="710293"/>
        <n v="661052"/>
        <n v="205706"/>
        <n v="747149"/>
        <n v="720751"/>
        <n v="219058"/>
        <n v="782080"/>
        <n v="764901"/>
        <n v="226130"/>
        <n v="827367"/>
        <n v="811512"/>
        <n v="112803"/>
        <n v="459779"/>
        <n v="427124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4.6762384259" refreshedBy="alice" recordCount="3">
  <cacheSource type="worksheet">
    <worksheetSource ref="A12:D15" sheet="Sales_Analysis"/>
  </cacheSource>
  <cacheFields count="4">
    <cacheField name="division" numFmtId="0">
      <sharedItems containsSemiMixedTypes="0" containsString="0" containsNumber="1" containsInteger="1" minValue="0" maxValue="47" count="3">
        <n v="46"/>
        <n v="47"/>
        <n v="45"/>
      </sharedItems>
    </cacheField>
    <cacheField name="division_name" numFmtId="0">
      <sharedItems count="3">
        <s v="Wholesale Trade"/>
        <s v="Retail Trade"/>
        <s v="Motor Vehicles &amp; Motorcycles"/>
      </sharedItems>
    </cacheField>
    <cacheField name="total_sales(RM millions)" numFmtId="4">
      <sharedItems containsSemiMixedTypes="0" containsString="0" containsNumber="1" containsInteger="1" minValue="0" maxValue="827367" count="3">
        <n v="827367"/>
        <n v="811512"/>
        <n v="226130"/>
      </sharedItems>
    </cacheField>
    <cacheField name="sales_contribution_pct" numFmtId="10">
      <sharedItems containsSemiMixedTypes="0" containsString="0" containsNumber="1" minValue="0" maxValue="0.4436" count="3">
        <n v="0.4436"/>
        <n v="0.4351"/>
        <n v="0.1212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4.9173263889" refreshedBy="alice" recordCount="306">
  <cacheSource type="worksheet">
    <worksheetSource ref="A3:G309" sheet="Volume"/>
  </cacheSource>
  <cacheFields count="7">
    <cacheField name="f.date" numFmtId="58">
      <sharedItems containsSemiMixedTypes="0" containsString="0" containsNonDate="0" containsDate="1" minDate="2018-01-01T00:00:00" maxDate="2026-06-01T00:00:00" count="102"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</sharedItems>
    </cacheField>
    <cacheField name="date" numFmtId="177">
      <sharedItems containsSemiMixedTypes="0" containsString="0" containsNonDate="0" containsDate="1" minDate="2018-01-01T00:00:00" maxDate="2026-06-01T00:00:00" count="102"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</sharedItems>
    </cacheField>
    <cacheField name="division" numFmtId="0">
      <sharedItems containsSemiMixedTypes="0" containsString="0" containsNumber="1" containsInteger="1" minValue="0" maxValue="47" count="3">
        <n v="45"/>
        <n v="46"/>
        <n v="47"/>
      </sharedItems>
    </cacheField>
    <cacheField name="division_name" numFmtId="0">
      <sharedItems count="3">
        <s v="Motor Vehicles &amp; Motorcycles"/>
        <s v="Wholesale Trade"/>
        <s v="Retail Trade"/>
      </sharedItems>
    </cacheField>
    <cacheField name="sales(RM millions)" numFmtId="4">
      <sharedItems containsSemiMixedTypes="0" containsString="0" containsNumber="1" containsInteger="1" minValue="0" maxValue="83534" count="303">
        <n v="11655"/>
        <n v="49750"/>
        <n v="39655"/>
        <n v="10544"/>
        <n v="47386"/>
        <n v="39223"/>
        <n v="12278"/>
        <n v="50675"/>
        <n v="40825"/>
        <n v="12066"/>
        <n v="48575"/>
        <n v="39129"/>
        <n v="12308"/>
        <n v="50537"/>
        <n v="40860"/>
        <n v="13019"/>
        <n v="50406"/>
        <n v="42706"/>
        <n v="13861"/>
        <n v="49163"/>
        <n v="43427"/>
        <n v="13467"/>
        <n v="50920"/>
        <n v="43478"/>
        <n v="11164"/>
        <n v="52382"/>
        <n v="41171"/>
        <n v="12132"/>
        <n v="51889"/>
        <n v="41997"/>
        <n v="12287"/>
        <n v="51045"/>
        <n v="42858"/>
        <n v="11898"/>
        <n v="52746"/>
        <n v="44666"/>
        <n v="12211"/>
        <n v="52858"/>
        <n v="43875"/>
        <n v="10782"/>
        <n v="50157"/>
        <n v="42543"/>
        <n v="12594"/>
        <n v="53210"/>
        <n v="43634"/>
        <n v="12337"/>
        <n v="51169"/>
        <n v="41867"/>
        <n v="13425"/>
        <n v="53306"/>
        <n v="44066"/>
        <n v="12700"/>
        <n v="53640"/>
        <n v="46000"/>
        <n v="13628"/>
        <n v="52400"/>
        <n v="46512"/>
        <n v="13619"/>
        <n v="53984"/>
        <n v="46466"/>
        <n v="11656"/>
        <n v="54839"/>
        <n v="44126"/>
        <n v="12584"/>
        <n v="53890"/>
        <n v="44844"/>
        <n v="12652"/>
        <n v="53167"/>
        <n v="45879"/>
        <n v="12435"/>
        <n v="55602"/>
        <n v="47787"/>
        <n v="12329"/>
        <n v="55631"/>
        <n v="46816"/>
        <n v="52606"/>
        <n v="45202"/>
        <n v="10672"/>
        <n v="51777"/>
        <n v="40732"/>
        <n v="838"/>
        <n v="37694"/>
        <n v="28320"/>
        <n v="6777"/>
        <n v="40710"/>
        <n v="36953"/>
        <n v="12124"/>
        <n v="48972"/>
        <n v="41774"/>
        <n v="13860"/>
        <n v="50047"/>
        <n v="44746"/>
        <n v="13757"/>
        <n v="45775"/>
        <n v="13648"/>
        <n v="52519"/>
        <n v="44826"/>
        <n v="12859"/>
        <n v="53405"/>
        <n v="44188"/>
        <n v="12797"/>
        <n v="52771"/>
        <n v="44827"/>
        <n v="14269"/>
        <n v="55290"/>
        <n v="46849"/>
        <n v="10802"/>
        <n v="55415"/>
        <n v="45629"/>
        <n v="11159"/>
        <n v="52576"/>
        <n v="44274"/>
        <n v="15016"/>
        <n v="52729"/>
        <n v="44990"/>
        <n v="13834"/>
        <n v="52955"/>
        <n v="44306"/>
        <n v="11595"/>
        <n v="53297"/>
        <n v="43350"/>
        <n v="925"/>
        <n v="50723"/>
        <n v="40579"/>
        <n v="2023"/>
        <n v="49519"/>
        <n v="41137"/>
        <n v="5828"/>
        <n v="51855"/>
        <n v="42367"/>
        <n v="10796"/>
        <n v="52984"/>
        <n v="44334"/>
        <n v="14167"/>
        <n v="55781"/>
        <n v="46285"/>
        <n v="13383"/>
        <n v="56338"/>
        <n v="47838"/>
        <n v="14577"/>
        <n v="57584"/>
        <n v="48474"/>
        <n v="12634"/>
        <n v="58581"/>
        <n v="48970"/>
        <n v="12456"/>
        <n v="55850"/>
        <n v="48783"/>
        <n v="16682"/>
        <n v="57241"/>
        <n v="49851"/>
        <n v="15402"/>
        <n v="59023"/>
        <n v="53559"/>
        <n v="13930"/>
        <n v="59555"/>
        <n v="56019"/>
        <n v="16127"/>
        <n v="60515"/>
        <n v="56154"/>
        <n v="14115"/>
        <n v="59696"/>
        <n v="56582"/>
        <n v="16514"/>
        <n v="60131"/>
        <n v="56980"/>
        <n v="16323"/>
        <n v="60038"/>
        <n v="57653"/>
        <n v="15422"/>
        <n v="59868"/>
        <n v="58307"/>
        <n v="16036"/>
        <n v="59487"/>
        <n v="58740"/>
        <n v="17532"/>
        <n v="60308"/>
        <n v="59454"/>
        <n v="15179"/>
        <n v="60374"/>
        <n v="59577"/>
        <n v="16485"/>
        <n v="59148"/>
        <n v="58158"/>
        <n v="18229"/>
        <n v="61597"/>
        <n v="58671"/>
        <n v="14623"/>
        <n v="60902"/>
        <n v="60462"/>
        <n v="16997"/>
        <n v="62170"/>
        <n v="58830"/>
        <n v="16677"/>
        <n v="62384"/>
        <n v="59404"/>
        <n v="16919"/>
        <n v="63093"/>
        <n v="59680"/>
        <n v="18122"/>
        <n v="63860"/>
        <n v="60544"/>
        <n v="17466"/>
        <n v="64183"/>
        <n v="61070"/>
        <n v="18375"/>
        <n v="63308"/>
        <n v="60599"/>
        <n v="18072"/>
        <n v="63196"/>
        <n v="61313"/>
        <n v="18562"/>
        <n v="62934"/>
        <n v="62443"/>
        <n v="17615"/>
        <n v="63687"/>
        <n v="61106"/>
        <n v="17371"/>
        <n v="62202"/>
        <n v="61533"/>
        <n v="18813"/>
        <n v="64081"/>
        <n v="62830"/>
        <n v="17270"/>
        <n v="63837"/>
        <n v="63790"/>
        <n v="18782"/>
        <n v="65112"/>
        <n v="63957"/>
        <n v="17009"/>
        <n v="64893"/>
        <n v="64094"/>
        <n v="18988"/>
        <n v="66562"/>
        <n v="63480"/>
        <n v="18867"/>
        <n v="66238"/>
        <n v="64120"/>
        <n v="17292"/>
        <n v="66471"/>
        <n v="64417"/>
        <n v="18873"/>
        <n v="66338"/>
        <n v="64908"/>
        <n v="18328"/>
        <n v="66157"/>
        <n v="64847"/>
        <n v="19850"/>
        <n v="66502"/>
        <n v="65819"/>
        <n v="16009"/>
        <n v="66783"/>
        <n v="66118"/>
        <n v="17626"/>
        <n v="65799"/>
        <n v="65070"/>
        <n v="19243"/>
        <n v="67755"/>
        <n v="66984"/>
        <n v="67321"/>
        <n v="66759"/>
        <n v="19069"/>
        <n v="68204"/>
        <n v="67068"/>
        <n v="17133"/>
        <n v="68295"/>
        <n v="67542"/>
        <n v="19286"/>
        <n v="70130"/>
        <n v="67013"/>
        <n v="19618"/>
        <n v="69642"/>
        <n v="67327"/>
        <n v="18041"/>
        <n v="71054"/>
        <n v="68916"/>
        <n v="20412"/>
        <n v="71173"/>
        <n v="69325"/>
        <n v="19790"/>
        <n v="70144"/>
        <n v="69015"/>
        <n v="22277"/>
        <n v="71067"/>
        <n v="70375"/>
        <n v="18780"/>
        <n v="70808"/>
        <n v="70182"/>
        <n v="16696"/>
        <n v="69528"/>
        <n v="70070"/>
        <n v="18640"/>
        <n v="78367"/>
        <n v="72009"/>
        <n v="20364"/>
        <n v="83534"/>
        <n v="70951"/>
        <n v="18632"/>
        <n v="80755"/>
        <n v="71896"/>
        <n v="19691"/>
        <n v="76787"/>
        <n v="72016"/>
      </sharedItems>
    </cacheField>
    <cacheField name="volume_index(2015=100)" numFmtId="0">
      <sharedItems containsSemiMixedTypes="0" containsString="0" containsNumber="1" containsInteger="1" minValue="0" maxValue="196" count="99">
        <n v="98"/>
        <n v="119"/>
        <n v="124"/>
        <n v="92"/>
        <n v="114"/>
        <n v="122"/>
        <n v="100"/>
        <n v="123"/>
        <n v="128"/>
        <n v="96"/>
        <n v="118"/>
        <n v="120"/>
        <n v="125"/>
        <n v="109"/>
        <n v="134"/>
        <n v="135"/>
        <n v="110"/>
        <n v="133"/>
        <n v="93"/>
        <n v="129"/>
        <n v="126"/>
        <n v="131"/>
        <n v="102"/>
        <n v="140"/>
        <n v="103"/>
        <n v="138"/>
        <n v="104"/>
        <n v="127"/>
        <n v="137"/>
        <n v="99"/>
        <n v="130"/>
        <n v="147"/>
        <n v="146"/>
        <n v="111"/>
        <n v="132"/>
        <n v="143"/>
        <n v="97"/>
        <n v="136"/>
        <n v="139"/>
        <n v="105"/>
        <n v="150"/>
        <n v="148"/>
        <n v="141"/>
        <n v="89"/>
        <n v="6"/>
        <n v="88"/>
        <n v="83"/>
        <n v="55"/>
        <n v="117"/>
        <n v="112"/>
        <n v="106"/>
        <n v="145"/>
        <n v="95"/>
        <n v="113"/>
        <n v="91"/>
        <n v="7"/>
        <n v="14"/>
        <n v="47"/>
        <n v="86"/>
        <n v="121"/>
        <n v="108"/>
        <n v="157"/>
        <n v="164"/>
        <n v="165"/>
        <n v="166"/>
        <n v="167"/>
        <n v="168"/>
        <n v="169"/>
        <n v="170"/>
        <n v="171"/>
        <n v="173"/>
        <n v="174"/>
        <n v="175"/>
        <n v="178"/>
        <n v="179"/>
        <n v="142"/>
        <n v="180"/>
        <n v="181"/>
        <n v="182"/>
        <n v="184"/>
        <n v="185"/>
        <n v="144"/>
        <n v="186"/>
        <n v="151"/>
        <n v="187"/>
        <n v="155"/>
        <n v="154"/>
        <n v="156"/>
        <n v="190"/>
        <n v="149"/>
        <n v="162"/>
        <n v="193"/>
        <n v="192"/>
        <n v="153"/>
        <n v="191"/>
        <n v="196"/>
        <n v="159"/>
        <n v="194"/>
        <n v="195"/>
      </sharedItems>
    </cacheField>
    <cacheField name="volume_index_sa(2015=100)" numFmtId="0">
      <sharedItems containsSemiMixedTypes="0" containsString="0" containsNumber="1" containsInteger="1" minValue="0" maxValue="196" count="99">
        <n v="99"/>
        <n v="119"/>
        <n v="121"/>
        <n v="100"/>
        <n v="120"/>
        <n v="122"/>
        <n v="95"/>
        <n v="123"/>
        <n v="102"/>
        <n v="124"/>
        <n v="126"/>
        <n v="105"/>
        <n v="131"/>
        <n v="109"/>
        <n v="134"/>
        <n v="107"/>
        <n v="125"/>
        <n v="136"/>
        <n v="94"/>
        <n v="129"/>
        <n v="101"/>
        <n v="133"/>
        <n v="97"/>
        <n v="135"/>
        <n v="104"/>
        <n v="106"/>
        <n v="108"/>
        <n v="127"/>
        <n v="138"/>
        <n v="142"/>
        <n v="130"/>
        <n v="141"/>
        <n v="143"/>
        <n v="132"/>
        <n v="144"/>
        <n v="128"/>
        <n v="85"/>
        <n v="7"/>
        <n v="93"/>
        <n v="90"/>
        <n v="60"/>
        <n v="110"/>
        <n v="137"/>
        <n v="113"/>
        <n v="140"/>
        <n v="147"/>
        <n v="8"/>
        <n v="13"/>
        <n v="45"/>
        <n v="84"/>
        <n v="111"/>
        <n v="151"/>
        <n v="116"/>
        <n v="152"/>
        <n v="139"/>
        <n v="176"/>
        <n v="172"/>
        <n v="162"/>
        <n v="115"/>
        <n v="177"/>
        <n v="169"/>
        <n v="175"/>
        <n v="167"/>
        <n v="114"/>
        <n v="168"/>
        <n v="166"/>
        <n v="165"/>
        <n v="173"/>
        <n v="174"/>
        <n v="157"/>
        <n v="170"/>
        <n v="171"/>
        <n v="158"/>
        <n v="150"/>
        <n v="117"/>
        <n v="178"/>
        <n v="180"/>
        <n v="163"/>
        <n v="154"/>
        <n v="146"/>
        <n v="182"/>
        <n v="181"/>
        <n v="145"/>
        <n v="185"/>
        <n v="148"/>
        <n v="186"/>
        <n v="187"/>
        <n v="155"/>
        <n v="156"/>
        <n v="190"/>
        <n v="149"/>
        <n v="193"/>
        <n v="192"/>
        <n v="153"/>
        <n v="191"/>
        <n v="196"/>
        <n v="159"/>
        <n v="194"/>
        <n v="19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">
  <r>
    <x v="0"/>
    <x v="0"/>
    <x v="0"/>
    <x v="0"/>
    <x v="0"/>
  </r>
  <r>
    <x v="0"/>
    <x v="0"/>
    <x v="1"/>
    <x v="1"/>
    <x v="1"/>
  </r>
  <r>
    <x v="0"/>
    <x v="0"/>
    <x v="2"/>
    <x v="2"/>
    <x v="2"/>
  </r>
  <r>
    <x v="1"/>
    <x v="1"/>
    <x v="0"/>
    <x v="0"/>
    <x v="3"/>
  </r>
  <r>
    <x v="1"/>
    <x v="1"/>
    <x v="1"/>
    <x v="1"/>
    <x v="4"/>
  </r>
  <r>
    <x v="1"/>
    <x v="1"/>
    <x v="2"/>
    <x v="2"/>
    <x v="5"/>
  </r>
  <r>
    <x v="2"/>
    <x v="2"/>
    <x v="0"/>
    <x v="0"/>
    <x v="6"/>
  </r>
  <r>
    <x v="2"/>
    <x v="2"/>
    <x v="1"/>
    <x v="1"/>
    <x v="7"/>
  </r>
  <r>
    <x v="2"/>
    <x v="2"/>
    <x v="2"/>
    <x v="2"/>
    <x v="8"/>
  </r>
  <r>
    <x v="3"/>
    <x v="3"/>
    <x v="0"/>
    <x v="0"/>
    <x v="3"/>
  </r>
  <r>
    <x v="3"/>
    <x v="3"/>
    <x v="1"/>
    <x v="1"/>
    <x v="9"/>
  </r>
  <r>
    <x v="3"/>
    <x v="3"/>
    <x v="2"/>
    <x v="2"/>
    <x v="10"/>
  </r>
  <r>
    <x v="4"/>
    <x v="4"/>
    <x v="0"/>
    <x v="0"/>
    <x v="11"/>
  </r>
  <r>
    <x v="4"/>
    <x v="4"/>
    <x v="1"/>
    <x v="1"/>
    <x v="12"/>
  </r>
  <r>
    <x v="4"/>
    <x v="4"/>
    <x v="2"/>
    <x v="2"/>
    <x v="13"/>
  </r>
  <r>
    <x v="5"/>
    <x v="5"/>
    <x v="0"/>
    <x v="0"/>
    <x v="14"/>
  </r>
  <r>
    <x v="5"/>
    <x v="5"/>
    <x v="1"/>
    <x v="1"/>
    <x v="15"/>
  </r>
  <r>
    <x v="5"/>
    <x v="5"/>
    <x v="2"/>
    <x v="2"/>
    <x v="16"/>
  </r>
  <r>
    <x v="6"/>
    <x v="6"/>
    <x v="0"/>
    <x v="0"/>
    <x v="17"/>
  </r>
  <r>
    <x v="6"/>
    <x v="6"/>
    <x v="1"/>
    <x v="1"/>
    <x v="18"/>
  </r>
  <r>
    <x v="6"/>
    <x v="6"/>
    <x v="2"/>
    <x v="2"/>
    <x v="19"/>
  </r>
  <r>
    <x v="7"/>
    <x v="7"/>
    <x v="0"/>
    <x v="0"/>
    <x v="20"/>
  </r>
  <r>
    <x v="7"/>
    <x v="7"/>
    <x v="1"/>
    <x v="1"/>
    <x v="21"/>
  </r>
  <r>
    <x v="7"/>
    <x v="7"/>
    <x v="2"/>
    <x v="2"/>
    <x v="22"/>
  </r>
  <r>
    <x v="8"/>
    <x v="8"/>
    <x v="0"/>
    <x v="0"/>
    <x v="23"/>
  </r>
  <r>
    <x v="8"/>
    <x v="8"/>
    <x v="1"/>
    <x v="1"/>
    <x v="24"/>
  </r>
  <r>
    <x v="8"/>
    <x v="8"/>
    <x v="2"/>
    <x v="2"/>
    <x v="25"/>
  </r>
  <r>
    <x v="9"/>
    <x v="9"/>
    <x v="0"/>
    <x v="0"/>
    <x v="26"/>
  </r>
  <r>
    <x v="9"/>
    <x v="9"/>
    <x v="1"/>
    <x v="1"/>
    <x v="27"/>
  </r>
  <r>
    <x v="9"/>
    <x v="9"/>
    <x v="2"/>
    <x v="2"/>
    <x v="28"/>
  </r>
  <r>
    <x v="10"/>
    <x v="10"/>
    <x v="0"/>
    <x v="0"/>
    <x v="29"/>
  </r>
  <r>
    <x v="10"/>
    <x v="10"/>
    <x v="1"/>
    <x v="1"/>
    <x v="30"/>
  </r>
  <r>
    <x v="10"/>
    <x v="10"/>
    <x v="2"/>
    <x v="2"/>
    <x v="31"/>
  </r>
  <r>
    <x v="11"/>
    <x v="11"/>
    <x v="0"/>
    <x v="0"/>
    <x v="32"/>
  </r>
  <r>
    <x v="11"/>
    <x v="11"/>
    <x v="1"/>
    <x v="1"/>
    <x v="33"/>
  </r>
  <r>
    <x v="11"/>
    <x v="11"/>
    <x v="2"/>
    <x v="2"/>
    <x v="3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7">
  <r>
    <x v="0"/>
    <x v="0"/>
    <x v="0"/>
    <x v="0"/>
  </r>
  <r>
    <x v="0"/>
    <x v="1"/>
    <x v="1"/>
    <x v="1"/>
  </r>
  <r>
    <x v="0"/>
    <x v="2"/>
    <x v="2"/>
    <x v="2"/>
  </r>
  <r>
    <x v="1"/>
    <x v="0"/>
    <x v="0"/>
    <x v="3"/>
  </r>
  <r>
    <x v="1"/>
    <x v="1"/>
    <x v="1"/>
    <x v="4"/>
  </r>
  <r>
    <x v="1"/>
    <x v="2"/>
    <x v="2"/>
    <x v="5"/>
  </r>
  <r>
    <x v="2"/>
    <x v="0"/>
    <x v="0"/>
    <x v="6"/>
  </r>
  <r>
    <x v="2"/>
    <x v="1"/>
    <x v="1"/>
    <x v="7"/>
  </r>
  <r>
    <x v="2"/>
    <x v="2"/>
    <x v="2"/>
    <x v="8"/>
  </r>
  <r>
    <x v="3"/>
    <x v="0"/>
    <x v="0"/>
    <x v="9"/>
  </r>
  <r>
    <x v="3"/>
    <x v="1"/>
    <x v="1"/>
    <x v="10"/>
  </r>
  <r>
    <x v="3"/>
    <x v="2"/>
    <x v="2"/>
    <x v="11"/>
  </r>
  <r>
    <x v="4"/>
    <x v="0"/>
    <x v="0"/>
    <x v="12"/>
  </r>
  <r>
    <x v="4"/>
    <x v="1"/>
    <x v="1"/>
    <x v="13"/>
  </r>
  <r>
    <x v="4"/>
    <x v="2"/>
    <x v="2"/>
    <x v="14"/>
  </r>
  <r>
    <x v="5"/>
    <x v="0"/>
    <x v="0"/>
    <x v="15"/>
  </r>
  <r>
    <x v="5"/>
    <x v="1"/>
    <x v="1"/>
    <x v="16"/>
  </r>
  <r>
    <x v="5"/>
    <x v="2"/>
    <x v="2"/>
    <x v="17"/>
  </r>
  <r>
    <x v="6"/>
    <x v="0"/>
    <x v="0"/>
    <x v="18"/>
  </r>
  <r>
    <x v="6"/>
    <x v="1"/>
    <x v="1"/>
    <x v="19"/>
  </r>
  <r>
    <x v="6"/>
    <x v="2"/>
    <x v="2"/>
    <x v="20"/>
  </r>
  <r>
    <x v="7"/>
    <x v="0"/>
    <x v="0"/>
    <x v="21"/>
  </r>
  <r>
    <x v="7"/>
    <x v="1"/>
    <x v="1"/>
    <x v="22"/>
  </r>
  <r>
    <x v="7"/>
    <x v="2"/>
    <x v="2"/>
    <x v="23"/>
  </r>
  <r>
    <x v="8"/>
    <x v="0"/>
    <x v="0"/>
    <x v="24"/>
  </r>
  <r>
    <x v="8"/>
    <x v="1"/>
    <x v="1"/>
    <x v="25"/>
  </r>
  <r>
    <x v="8"/>
    <x v="2"/>
    <x v="2"/>
    <x v="2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">
  <r>
    <x v="0"/>
    <x v="0"/>
    <x v="0"/>
    <x v="0"/>
  </r>
  <r>
    <x v="1"/>
    <x v="1"/>
    <x v="1"/>
    <x v="1"/>
  </r>
  <r>
    <x v="2"/>
    <x v="2"/>
    <x v="2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06">
  <r>
    <x v="0"/>
    <x v="0"/>
    <x v="0"/>
    <x v="0"/>
    <x v="0"/>
    <x v="0"/>
    <x v="0"/>
  </r>
  <r>
    <x v="0"/>
    <x v="0"/>
    <x v="1"/>
    <x v="1"/>
    <x v="1"/>
    <x v="1"/>
    <x v="1"/>
  </r>
  <r>
    <x v="0"/>
    <x v="0"/>
    <x v="2"/>
    <x v="2"/>
    <x v="2"/>
    <x v="2"/>
    <x v="2"/>
  </r>
  <r>
    <x v="1"/>
    <x v="1"/>
    <x v="0"/>
    <x v="0"/>
    <x v="3"/>
    <x v="3"/>
    <x v="3"/>
  </r>
  <r>
    <x v="1"/>
    <x v="1"/>
    <x v="1"/>
    <x v="1"/>
    <x v="4"/>
    <x v="4"/>
    <x v="4"/>
  </r>
  <r>
    <x v="1"/>
    <x v="1"/>
    <x v="2"/>
    <x v="2"/>
    <x v="5"/>
    <x v="5"/>
    <x v="5"/>
  </r>
  <r>
    <x v="2"/>
    <x v="2"/>
    <x v="0"/>
    <x v="0"/>
    <x v="6"/>
    <x v="6"/>
    <x v="6"/>
  </r>
  <r>
    <x v="2"/>
    <x v="2"/>
    <x v="1"/>
    <x v="1"/>
    <x v="7"/>
    <x v="7"/>
    <x v="4"/>
  </r>
  <r>
    <x v="2"/>
    <x v="2"/>
    <x v="2"/>
    <x v="2"/>
    <x v="8"/>
    <x v="8"/>
    <x v="7"/>
  </r>
  <r>
    <x v="3"/>
    <x v="3"/>
    <x v="0"/>
    <x v="0"/>
    <x v="9"/>
    <x v="9"/>
    <x v="8"/>
  </r>
  <r>
    <x v="3"/>
    <x v="3"/>
    <x v="1"/>
    <x v="1"/>
    <x v="10"/>
    <x v="10"/>
    <x v="2"/>
  </r>
  <r>
    <x v="3"/>
    <x v="3"/>
    <x v="2"/>
    <x v="2"/>
    <x v="11"/>
    <x v="11"/>
    <x v="9"/>
  </r>
  <r>
    <x v="4"/>
    <x v="4"/>
    <x v="0"/>
    <x v="0"/>
    <x v="12"/>
    <x v="6"/>
    <x v="3"/>
  </r>
  <r>
    <x v="4"/>
    <x v="4"/>
    <x v="1"/>
    <x v="1"/>
    <x v="13"/>
    <x v="12"/>
    <x v="5"/>
  </r>
  <r>
    <x v="4"/>
    <x v="4"/>
    <x v="2"/>
    <x v="2"/>
    <x v="14"/>
    <x v="5"/>
    <x v="10"/>
  </r>
  <r>
    <x v="5"/>
    <x v="5"/>
    <x v="0"/>
    <x v="0"/>
    <x v="15"/>
    <x v="13"/>
    <x v="11"/>
  </r>
  <r>
    <x v="5"/>
    <x v="5"/>
    <x v="1"/>
    <x v="1"/>
    <x v="16"/>
    <x v="2"/>
    <x v="5"/>
  </r>
  <r>
    <x v="5"/>
    <x v="5"/>
    <x v="2"/>
    <x v="2"/>
    <x v="17"/>
    <x v="14"/>
    <x v="12"/>
  </r>
  <r>
    <x v="6"/>
    <x v="6"/>
    <x v="0"/>
    <x v="0"/>
    <x v="18"/>
    <x v="4"/>
    <x v="13"/>
  </r>
  <r>
    <x v="6"/>
    <x v="6"/>
    <x v="1"/>
    <x v="1"/>
    <x v="19"/>
    <x v="11"/>
    <x v="7"/>
  </r>
  <r>
    <x v="6"/>
    <x v="6"/>
    <x v="2"/>
    <x v="2"/>
    <x v="20"/>
    <x v="15"/>
    <x v="14"/>
  </r>
  <r>
    <x v="7"/>
    <x v="7"/>
    <x v="0"/>
    <x v="0"/>
    <x v="21"/>
    <x v="16"/>
    <x v="15"/>
  </r>
  <r>
    <x v="7"/>
    <x v="7"/>
    <x v="1"/>
    <x v="1"/>
    <x v="22"/>
    <x v="12"/>
    <x v="16"/>
  </r>
  <r>
    <x v="7"/>
    <x v="7"/>
    <x v="2"/>
    <x v="2"/>
    <x v="23"/>
    <x v="17"/>
    <x v="17"/>
  </r>
  <r>
    <x v="8"/>
    <x v="8"/>
    <x v="0"/>
    <x v="0"/>
    <x v="24"/>
    <x v="18"/>
    <x v="18"/>
  </r>
  <r>
    <x v="8"/>
    <x v="8"/>
    <x v="1"/>
    <x v="1"/>
    <x v="25"/>
    <x v="19"/>
    <x v="10"/>
  </r>
  <r>
    <x v="8"/>
    <x v="8"/>
    <x v="2"/>
    <x v="2"/>
    <x v="26"/>
    <x v="20"/>
    <x v="19"/>
  </r>
  <r>
    <x v="9"/>
    <x v="9"/>
    <x v="0"/>
    <x v="0"/>
    <x v="27"/>
    <x v="6"/>
    <x v="20"/>
  </r>
  <r>
    <x v="9"/>
    <x v="9"/>
    <x v="1"/>
    <x v="1"/>
    <x v="28"/>
    <x v="19"/>
    <x v="10"/>
  </r>
  <r>
    <x v="9"/>
    <x v="9"/>
    <x v="2"/>
    <x v="2"/>
    <x v="29"/>
    <x v="21"/>
    <x v="21"/>
  </r>
  <r>
    <x v="10"/>
    <x v="10"/>
    <x v="0"/>
    <x v="0"/>
    <x v="30"/>
    <x v="22"/>
    <x v="8"/>
  </r>
  <r>
    <x v="10"/>
    <x v="10"/>
    <x v="1"/>
    <x v="1"/>
    <x v="31"/>
    <x v="7"/>
    <x v="10"/>
  </r>
  <r>
    <x v="10"/>
    <x v="10"/>
    <x v="2"/>
    <x v="2"/>
    <x v="32"/>
    <x v="14"/>
    <x v="14"/>
  </r>
  <r>
    <x v="11"/>
    <x v="11"/>
    <x v="0"/>
    <x v="0"/>
    <x v="33"/>
    <x v="0"/>
    <x v="22"/>
  </r>
  <r>
    <x v="11"/>
    <x v="11"/>
    <x v="1"/>
    <x v="1"/>
    <x v="34"/>
    <x v="12"/>
    <x v="16"/>
  </r>
  <r>
    <x v="11"/>
    <x v="11"/>
    <x v="2"/>
    <x v="2"/>
    <x v="35"/>
    <x v="23"/>
    <x v="23"/>
  </r>
  <r>
    <x v="12"/>
    <x v="12"/>
    <x v="0"/>
    <x v="0"/>
    <x v="36"/>
    <x v="24"/>
    <x v="11"/>
  </r>
  <r>
    <x v="12"/>
    <x v="12"/>
    <x v="1"/>
    <x v="1"/>
    <x v="37"/>
    <x v="12"/>
    <x v="16"/>
  </r>
  <r>
    <x v="12"/>
    <x v="12"/>
    <x v="2"/>
    <x v="2"/>
    <x v="38"/>
    <x v="25"/>
    <x v="23"/>
  </r>
  <r>
    <x v="13"/>
    <x v="13"/>
    <x v="0"/>
    <x v="0"/>
    <x v="39"/>
    <x v="9"/>
    <x v="24"/>
  </r>
  <r>
    <x v="13"/>
    <x v="13"/>
    <x v="1"/>
    <x v="1"/>
    <x v="40"/>
    <x v="1"/>
    <x v="16"/>
  </r>
  <r>
    <x v="13"/>
    <x v="13"/>
    <x v="2"/>
    <x v="2"/>
    <x v="41"/>
    <x v="17"/>
    <x v="23"/>
  </r>
  <r>
    <x v="14"/>
    <x v="14"/>
    <x v="0"/>
    <x v="0"/>
    <x v="42"/>
    <x v="26"/>
    <x v="8"/>
  </r>
  <r>
    <x v="14"/>
    <x v="14"/>
    <x v="1"/>
    <x v="1"/>
    <x v="43"/>
    <x v="27"/>
    <x v="9"/>
  </r>
  <r>
    <x v="14"/>
    <x v="14"/>
    <x v="2"/>
    <x v="2"/>
    <x v="44"/>
    <x v="28"/>
    <x v="21"/>
  </r>
  <r>
    <x v="15"/>
    <x v="15"/>
    <x v="0"/>
    <x v="0"/>
    <x v="45"/>
    <x v="29"/>
    <x v="25"/>
  </r>
  <r>
    <x v="15"/>
    <x v="15"/>
    <x v="1"/>
    <x v="1"/>
    <x v="46"/>
    <x v="5"/>
    <x v="10"/>
  </r>
  <r>
    <x v="15"/>
    <x v="15"/>
    <x v="2"/>
    <x v="2"/>
    <x v="47"/>
    <x v="19"/>
    <x v="23"/>
  </r>
  <r>
    <x v="16"/>
    <x v="16"/>
    <x v="0"/>
    <x v="0"/>
    <x v="48"/>
    <x v="13"/>
    <x v="26"/>
  </r>
  <r>
    <x v="16"/>
    <x v="16"/>
    <x v="1"/>
    <x v="1"/>
    <x v="49"/>
    <x v="19"/>
    <x v="27"/>
  </r>
  <r>
    <x v="16"/>
    <x v="16"/>
    <x v="2"/>
    <x v="2"/>
    <x v="50"/>
    <x v="14"/>
    <x v="28"/>
  </r>
  <r>
    <x v="17"/>
    <x v="17"/>
    <x v="0"/>
    <x v="0"/>
    <x v="51"/>
    <x v="13"/>
    <x v="11"/>
  </r>
  <r>
    <x v="17"/>
    <x v="17"/>
    <x v="1"/>
    <x v="1"/>
    <x v="52"/>
    <x v="30"/>
    <x v="19"/>
  </r>
  <r>
    <x v="17"/>
    <x v="17"/>
    <x v="2"/>
    <x v="2"/>
    <x v="53"/>
    <x v="31"/>
    <x v="29"/>
  </r>
  <r>
    <x v="18"/>
    <x v="18"/>
    <x v="0"/>
    <x v="0"/>
    <x v="54"/>
    <x v="4"/>
    <x v="25"/>
  </r>
  <r>
    <x v="18"/>
    <x v="18"/>
    <x v="1"/>
    <x v="1"/>
    <x v="55"/>
    <x v="27"/>
    <x v="30"/>
  </r>
  <r>
    <x v="18"/>
    <x v="18"/>
    <x v="2"/>
    <x v="2"/>
    <x v="56"/>
    <x v="32"/>
    <x v="29"/>
  </r>
  <r>
    <x v="19"/>
    <x v="19"/>
    <x v="0"/>
    <x v="0"/>
    <x v="57"/>
    <x v="33"/>
    <x v="25"/>
  </r>
  <r>
    <x v="19"/>
    <x v="19"/>
    <x v="1"/>
    <x v="1"/>
    <x v="58"/>
    <x v="34"/>
    <x v="12"/>
  </r>
  <r>
    <x v="19"/>
    <x v="19"/>
    <x v="2"/>
    <x v="2"/>
    <x v="59"/>
    <x v="35"/>
    <x v="29"/>
  </r>
  <r>
    <x v="20"/>
    <x v="20"/>
    <x v="0"/>
    <x v="0"/>
    <x v="60"/>
    <x v="36"/>
    <x v="20"/>
  </r>
  <r>
    <x v="20"/>
    <x v="20"/>
    <x v="1"/>
    <x v="1"/>
    <x v="61"/>
    <x v="37"/>
    <x v="12"/>
  </r>
  <r>
    <x v="20"/>
    <x v="20"/>
    <x v="2"/>
    <x v="2"/>
    <x v="62"/>
    <x v="15"/>
    <x v="31"/>
  </r>
  <r>
    <x v="21"/>
    <x v="21"/>
    <x v="0"/>
    <x v="0"/>
    <x v="63"/>
    <x v="26"/>
    <x v="11"/>
  </r>
  <r>
    <x v="21"/>
    <x v="21"/>
    <x v="1"/>
    <x v="1"/>
    <x v="64"/>
    <x v="15"/>
    <x v="12"/>
  </r>
  <r>
    <x v="21"/>
    <x v="21"/>
    <x v="2"/>
    <x v="2"/>
    <x v="65"/>
    <x v="38"/>
    <x v="29"/>
  </r>
  <r>
    <x v="22"/>
    <x v="22"/>
    <x v="0"/>
    <x v="0"/>
    <x v="66"/>
    <x v="39"/>
    <x v="11"/>
  </r>
  <r>
    <x v="22"/>
    <x v="22"/>
    <x v="1"/>
    <x v="1"/>
    <x v="67"/>
    <x v="19"/>
    <x v="12"/>
  </r>
  <r>
    <x v="22"/>
    <x v="22"/>
    <x v="2"/>
    <x v="2"/>
    <x v="68"/>
    <x v="35"/>
    <x v="32"/>
  </r>
  <r>
    <x v="23"/>
    <x v="23"/>
    <x v="0"/>
    <x v="0"/>
    <x v="69"/>
    <x v="24"/>
    <x v="24"/>
  </r>
  <r>
    <x v="23"/>
    <x v="23"/>
    <x v="1"/>
    <x v="1"/>
    <x v="70"/>
    <x v="21"/>
    <x v="33"/>
  </r>
  <r>
    <x v="23"/>
    <x v="23"/>
    <x v="2"/>
    <x v="2"/>
    <x v="71"/>
    <x v="40"/>
    <x v="34"/>
  </r>
  <r>
    <x v="24"/>
    <x v="24"/>
    <x v="0"/>
    <x v="0"/>
    <x v="72"/>
    <x v="26"/>
    <x v="24"/>
  </r>
  <r>
    <x v="24"/>
    <x v="24"/>
    <x v="1"/>
    <x v="1"/>
    <x v="73"/>
    <x v="34"/>
    <x v="35"/>
  </r>
  <r>
    <x v="24"/>
    <x v="24"/>
    <x v="2"/>
    <x v="2"/>
    <x v="74"/>
    <x v="41"/>
    <x v="31"/>
  </r>
  <r>
    <x v="25"/>
    <x v="25"/>
    <x v="0"/>
    <x v="0"/>
    <x v="24"/>
    <x v="29"/>
    <x v="8"/>
  </r>
  <r>
    <x v="25"/>
    <x v="25"/>
    <x v="1"/>
    <x v="1"/>
    <x v="75"/>
    <x v="12"/>
    <x v="12"/>
  </r>
  <r>
    <x v="25"/>
    <x v="25"/>
    <x v="2"/>
    <x v="2"/>
    <x v="76"/>
    <x v="42"/>
    <x v="34"/>
  </r>
  <r>
    <x v="26"/>
    <x v="26"/>
    <x v="0"/>
    <x v="0"/>
    <x v="77"/>
    <x v="43"/>
    <x v="36"/>
  </r>
  <r>
    <x v="26"/>
    <x v="26"/>
    <x v="1"/>
    <x v="1"/>
    <x v="78"/>
    <x v="2"/>
    <x v="16"/>
  </r>
  <r>
    <x v="26"/>
    <x v="26"/>
    <x v="2"/>
    <x v="2"/>
    <x v="79"/>
    <x v="27"/>
    <x v="35"/>
  </r>
  <r>
    <x v="27"/>
    <x v="27"/>
    <x v="0"/>
    <x v="0"/>
    <x v="80"/>
    <x v="44"/>
    <x v="37"/>
  </r>
  <r>
    <x v="27"/>
    <x v="27"/>
    <x v="1"/>
    <x v="1"/>
    <x v="81"/>
    <x v="45"/>
    <x v="38"/>
  </r>
  <r>
    <x v="27"/>
    <x v="27"/>
    <x v="2"/>
    <x v="2"/>
    <x v="82"/>
    <x v="46"/>
    <x v="39"/>
  </r>
  <r>
    <x v="28"/>
    <x v="28"/>
    <x v="0"/>
    <x v="0"/>
    <x v="83"/>
    <x v="47"/>
    <x v="40"/>
  </r>
  <r>
    <x v="28"/>
    <x v="28"/>
    <x v="1"/>
    <x v="1"/>
    <x v="84"/>
    <x v="29"/>
    <x v="20"/>
  </r>
  <r>
    <x v="28"/>
    <x v="28"/>
    <x v="2"/>
    <x v="2"/>
    <x v="85"/>
    <x v="16"/>
    <x v="1"/>
  </r>
  <r>
    <x v="29"/>
    <x v="29"/>
    <x v="0"/>
    <x v="0"/>
    <x v="86"/>
    <x v="26"/>
    <x v="26"/>
  </r>
  <r>
    <x v="29"/>
    <x v="29"/>
    <x v="1"/>
    <x v="1"/>
    <x v="87"/>
    <x v="11"/>
    <x v="7"/>
  </r>
  <r>
    <x v="29"/>
    <x v="29"/>
    <x v="2"/>
    <x v="2"/>
    <x v="88"/>
    <x v="30"/>
    <x v="27"/>
  </r>
  <r>
    <x v="30"/>
    <x v="30"/>
    <x v="0"/>
    <x v="0"/>
    <x v="89"/>
    <x v="48"/>
    <x v="41"/>
  </r>
  <r>
    <x v="30"/>
    <x v="30"/>
    <x v="1"/>
    <x v="1"/>
    <x v="90"/>
    <x v="5"/>
    <x v="27"/>
  </r>
  <r>
    <x v="30"/>
    <x v="30"/>
    <x v="2"/>
    <x v="2"/>
    <x v="91"/>
    <x v="38"/>
    <x v="23"/>
  </r>
  <r>
    <x v="31"/>
    <x v="31"/>
    <x v="0"/>
    <x v="0"/>
    <x v="92"/>
    <x v="49"/>
    <x v="41"/>
  </r>
  <r>
    <x v="31"/>
    <x v="31"/>
    <x v="1"/>
    <x v="1"/>
    <x v="28"/>
    <x v="27"/>
    <x v="16"/>
  </r>
  <r>
    <x v="31"/>
    <x v="31"/>
    <x v="2"/>
    <x v="2"/>
    <x v="93"/>
    <x v="38"/>
    <x v="42"/>
  </r>
  <r>
    <x v="32"/>
    <x v="32"/>
    <x v="0"/>
    <x v="0"/>
    <x v="94"/>
    <x v="49"/>
    <x v="43"/>
  </r>
  <r>
    <x v="32"/>
    <x v="32"/>
    <x v="1"/>
    <x v="1"/>
    <x v="95"/>
    <x v="34"/>
    <x v="16"/>
  </r>
  <r>
    <x v="32"/>
    <x v="32"/>
    <x v="2"/>
    <x v="2"/>
    <x v="96"/>
    <x v="37"/>
    <x v="28"/>
  </r>
  <r>
    <x v="33"/>
    <x v="33"/>
    <x v="0"/>
    <x v="0"/>
    <x v="97"/>
    <x v="39"/>
    <x v="20"/>
  </r>
  <r>
    <x v="33"/>
    <x v="33"/>
    <x v="1"/>
    <x v="1"/>
    <x v="98"/>
    <x v="17"/>
    <x v="27"/>
  </r>
  <r>
    <x v="33"/>
    <x v="33"/>
    <x v="2"/>
    <x v="2"/>
    <x v="99"/>
    <x v="37"/>
    <x v="23"/>
  </r>
  <r>
    <x v="34"/>
    <x v="34"/>
    <x v="0"/>
    <x v="0"/>
    <x v="100"/>
    <x v="50"/>
    <x v="8"/>
  </r>
  <r>
    <x v="34"/>
    <x v="34"/>
    <x v="1"/>
    <x v="1"/>
    <x v="101"/>
    <x v="19"/>
    <x v="27"/>
  </r>
  <r>
    <x v="34"/>
    <x v="34"/>
    <x v="2"/>
    <x v="2"/>
    <x v="102"/>
    <x v="38"/>
    <x v="23"/>
  </r>
  <r>
    <x v="35"/>
    <x v="35"/>
    <x v="0"/>
    <x v="0"/>
    <x v="103"/>
    <x v="10"/>
    <x v="41"/>
  </r>
  <r>
    <x v="35"/>
    <x v="35"/>
    <x v="1"/>
    <x v="1"/>
    <x v="104"/>
    <x v="21"/>
    <x v="35"/>
  </r>
  <r>
    <x v="35"/>
    <x v="35"/>
    <x v="2"/>
    <x v="2"/>
    <x v="105"/>
    <x v="51"/>
    <x v="42"/>
  </r>
  <r>
    <x v="36"/>
    <x v="36"/>
    <x v="0"/>
    <x v="0"/>
    <x v="106"/>
    <x v="52"/>
    <x v="39"/>
  </r>
  <r>
    <x v="36"/>
    <x v="36"/>
    <x v="1"/>
    <x v="1"/>
    <x v="107"/>
    <x v="34"/>
    <x v="35"/>
  </r>
  <r>
    <x v="36"/>
    <x v="36"/>
    <x v="2"/>
    <x v="2"/>
    <x v="108"/>
    <x v="35"/>
    <x v="17"/>
  </r>
  <r>
    <x v="37"/>
    <x v="37"/>
    <x v="0"/>
    <x v="0"/>
    <x v="109"/>
    <x v="0"/>
    <x v="3"/>
  </r>
  <r>
    <x v="37"/>
    <x v="37"/>
    <x v="1"/>
    <x v="1"/>
    <x v="110"/>
    <x v="12"/>
    <x v="12"/>
  </r>
  <r>
    <x v="37"/>
    <x v="37"/>
    <x v="2"/>
    <x v="2"/>
    <x v="111"/>
    <x v="38"/>
    <x v="44"/>
  </r>
  <r>
    <x v="38"/>
    <x v="38"/>
    <x v="0"/>
    <x v="0"/>
    <x v="112"/>
    <x v="2"/>
    <x v="41"/>
  </r>
  <r>
    <x v="38"/>
    <x v="38"/>
    <x v="1"/>
    <x v="1"/>
    <x v="113"/>
    <x v="20"/>
    <x v="19"/>
  </r>
  <r>
    <x v="38"/>
    <x v="38"/>
    <x v="2"/>
    <x v="2"/>
    <x v="114"/>
    <x v="25"/>
    <x v="31"/>
  </r>
  <r>
    <x v="39"/>
    <x v="39"/>
    <x v="0"/>
    <x v="0"/>
    <x v="115"/>
    <x v="53"/>
    <x v="19"/>
  </r>
  <r>
    <x v="39"/>
    <x v="39"/>
    <x v="1"/>
    <x v="1"/>
    <x v="116"/>
    <x v="20"/>
    <x v="21"/>
  </r>
  <r>
    <x v="39"/>
    <x v="39"/>
    <x v="2"/>
    <x v="2"/>
    <x v="117"/>
    <x v="15"/>
    <x v="45"/>
  </r>
  <r>
    <x v="40"/>
    <x v="40"/>
    <x v="0"/>
    <x v="0"/>
    <x v="118"/>
    <x v="54"/>
    <x v="20"/>
  </r>
  <r>
    <x v="40"/>
    <x v="40"/>
    <x v="1"/>
    <x v="1"/>
    <x v="119"/>
    <x v="20"/>
    <x v="19"/>
  </r>
  <r>
    <x v="40"/>
    <x v="40"/>
    <x v="2"/>
    <x v="2"/>
    <x v="120"/>
    <x v="34"/>
    <x v="34"/>
  </r>
  <r>
    <x v="41"/>
    <x v="41"/>
    <x v="0"/>
    <x v="0"/>
    <x v="121"/>
    <x v="55"/>
    <x v="46"/>
  </r>
  <r>
    <x v="41"/>
    <x v="41"/>
    <x v="1"/>
    <x v="1"/>
    <x v="122"/>
    <x v="1"/>
    <x v="7"/>
  </r>
  <r>
    <x v="41"/>
    <x v="41"/>
    <x v="2"/>
    <x v="2"/>
    <x v="123"/>
    <x v="20"/>
    <x v="7"/>
  </r>
  <r>
    <x v="42"/>
    <x v="42"/>
    <x v="0"/>
    <x v="0"/>
    <x v="124"/>
    <x v="56"/>
    <x v="47"/>
  </r>
  <r>
    <x v="42"/>
    <x v="42"/>
    <x v="1"/>
    <x v="1"/>
    <x v="125"/>
    <x v="48"/>
    <x v="7"/>
  </r>
  <r>
    <x v="42"/>
    <x v="42"/>
    <x v="2"/>
    <x v="2"/>
    <x v="126"/>
    <x v="20"/>
    <x v="7"/>
  </r>
  <r>
    <x v="43"/>
    <x v="43"/>
    <x v="0"/>
    <x v="0"/>
    <x v="127"/>
    <x v="57"/>
    <x v="48"/>
  </r>
  <r>
    <x v="43"/>
    <x v="43"/>
    <x v="1"/>
    <x v="1"/>
    <x v="128"/>
    <x v="7"/>
    <x v="4"/>
  </r>
  <r>
    <x v="43"/>
    <x v="43"/>
    <x v="2"/>
    <x v="2"/>
    <x v="129"/>
    <x v="8"/>
    <x v="27"/>
  </r>
  <r>
    <x v="44"/>
    <x v="44"/>
    <x v="0"/>
    <x v="0"/>
    <x v="130"/>
    <x v="58"/>
    <x v="49"/>
  </r>
  <r>
    <x v="44"/>
    <x v="44"/>
    <x v="1"/>
    <x v="1"/>
    <x v="131"/>
    <x v="8"/>
    <x v="5"/>
  </r>
  <r>
    <x v="44"/>
    <x v="44"/>
    <x v="2"/>
    <x v="2"/>
    <x v="132"/>
    <x v="34"/>
    <x v="21"/>
  </r>
  <r>
    <x v="45"/>
    <x v="45"/>
    <x v="0"/>
    <x v="0"/>
    <x v="133"/>
    <x v="48"/>
    <x v="26"/>
  </r>
  <r>
    <x v="45"/>
    <x v="45"/>
    <x v="1"/>
    <x v="1"/>
    <x v="134"/>
    <x v="21"/>
    <x v="9"/>
  </r>
  <r>
    <x v="45"/>
    <x v="45"/>
    <x v="2"/>
    <x v="2"/>
    <x v="135"/>
    <x v="38"/>
    <x v="28"/>
  </r>
  <r>
    <x v="46"/>
    <x v="46"/>
    <x v="0"/>
    <x v="0"/>
    <x v="136"/>
    <x v="16"/>
    <x v="11"/>
  </r>
  <r>
    <x v="46"/>
    <x v="46"/>
    <x v="1"/>
    <x v="1"/>
    <x v="137"/>
    <x v="21"/>
    <x v="35"/>
  </r>
  <r>
    <x v="46"/>
    <x v="46"/>
    <x v="2"/>
    <x v="2"/>
    <x v="138"/>
    <x v="35"/>
    <x v="44"/>
  </r>
  <r>
    <x v="47"/>
    <x v="47"/>
    <x v="0"/>
    <x v="0"/>
    <x v="139"/>
    <x v="59"/>
    <x v="50"/>
  </r>
  <r>
    <x v="47"/>
    <x v="47"/>
    <x v="1"/>
    <x v="1"/>
    <x v="140"/>
    <x v="34"/>
    <x v="35"/>
  </r>
  <r>
    <x v="47"/>
    <x v="47"/>
    <x v="2"/>
    <x v="2"/>
    <x v="141"/>
    <x v="32"/>
    <x v="28"/>
  </r>
  <r>
    <x v="48"/>
    <x v="48"/>
    <x v="0"/>
    <x v="0"/>
    <x v="142"/>
    <x v="60"/>
    <x v="24"/>
  </r>
  <r>
    <x v="48"/>
    <x v="48"/>
    <x v="1"/>
    <x v="1"/>
    <x v="143"/>
    <x v="14"/>
    <x v="19"/>
  </r>
  <r>
    <x v="48"/>
    <x v="48"/>
    <x v="2"/>
    <x v="2"/>
    <x v="144"/>
    <x v="31"/>
    <x v="32"/>
  </r>
  <r>
    <x v="49"/>
    <x v="49"/>
    <x v="0"/>
    <x v="0"/>
    <x v="145"/>
    <x v="39"/>
    <x v="15"/>
  </r>
  <r>
    <x v="49"/>
    <x v="49"/>
    <x v="1"/>
    <x v="1"/>
    <x v="146"/>
    <x v="20"/>
    <x v="12"/>
  </r>
  <r>
    <x v="49"/>
    <x v="49"/>
    <x v="2"/>
    <x v="2"/>
    <x v="147"/>
    <x v="32"/>
    <x v="51"/>
  </r>
  <r>
    <x v="50"/>
    <x v="50"/>
    <x v="0"/>
    <x v="0"/>
    <x v="148"/>
    <x v="34"/>
    <x v="52"/>
  </r>
  <r>
    <x v="50"/>
    <x v="50"/>
    <x v="1"/>
    <x v="1"/>
    <x v="149"/>
    <x v="8"/>
    <x v="30"/>
  </r>
  <r>
    <x v="50"/>
    <x v="50"/>
    <x v="2"/>
    <x v="2"/>
    <x v="150"/>
    <x v="41"/>
    <x v="53"/>
  </r>
  <r>
    <x v="51"/>
    <x v="51"/>
    <x v="0"/>
    <x v="0"/>
    <x v="151"/>
    <x v="59"/>
    <x v="14"/>
  </r>
  <r>
    <x v="51"/>
    <x v="51"/>
    <x v="1"/>
    <x v="1"/>
    <x v="152"/>
    <x v="21"/>
    <x v="54"/>
  </r>
  <r>
    <x v="51"/>
    <x v="51"/>
    <x v="2"/>
    <x v="2"/>
    <x v="153"/>
    <x v="61"/>
    <x v="55"/>
  </r>
  <r>
    <x v="52"/>
    <x v="52"/>
    <x v="0"/>
    <x v="0"/>
    <x v="154"/>
    <x v="60"/>
    <x v="14"/>
  </r>
  <r>
    <x v="52"/>
    <x v="52"/>
    <x v="1"/>
    <x v="1"/>
    <x v="155"/>
    <x v="30"/>
    <x v="21"/>
  </r>
  <r>
    <x v="52"/>
    <x v="52"/>
    <x v="2"/>
    <x v="2"/>
    <x v="156"/>
    <x v="62"/>
    <x v="56"/>
  </r>
  <r>
    <x v="53"/>
    <x v="53"/>
    <x v="0"/>
    <x v="0"/>
    <x v="157"/>
    <x v="5"/>
    <x v="19"/>
  </r>
  <r>
    <x v="53"/>
    <x v="53"/>
    <x v="1"/>
    <x v="1"/>
    <x v="158"/>
    <x v="34"/>
    <x v="23"/>
  </r>
  <r>
    <x v="53"/>
    <x v="53"/>
    <x v="2"/>
    <x v="2"/>
    <x v="159"/>
    <x v="63"/>
    <x v="57"/>
  </r>
  <r>
    <x v="54"/>
    <x v="54"/>
    <x v="0"/>
    <x v="0"/>
    <x v="160"/>
    <x v="50"/>
    <x v="58"/>
  </r>
  <r>
    <x v="54"/>
    <x v="54"/>
    <x v="1"/>
    <x v="1"/>
    <x v="161"/>
    <x v="30"/>
    <x v="23"/>
  </r>
  <r>
    <x v="54"/>
    <x v="54"/>
    <x v="2"/>
    <x v="2"/>
    <x v="162"/>
    <x v="64"/>
    <x v="59"/>
  </r>
  <r>
    <x v="55"/>
    <x v="55"/>
    <x v="0"/>
    <x v="0"/>
    <x v="163"/>
    <x v="12"/>
    <x v="12"/>
  </r>
  <r>
    <x v="55"/>
    <x v="55"/>
    <x v="1"/>
    <x v="1"/>
    <x v="164"/>
    <x v="34"/>
    <x v="30"/>
  </r>
  <r>
    <x v="55"/>
    <x v="55"/>
    <x v="2"/>
    <x v="2"/>
    <x v="165"/>
    <x v="65"/>
    <x v="60"/>
  </r>
  <r>
    <x v="56"/>
    <x v="56"/>
    <x v="0"/>
    <x v="0"/>
    <x v="166"/>
    <x v="7"/>
    <x v="1"/>
  </r>
  <r>
    <x v="56"/>
    <x v="56"/>
    <x v="1"/>
    <x v="1"/>
    <x v="167"/>
    <x v="34"/>
    <x v="35"/>
  </r>
  <r>
    <x v="56"/>
    <x v="56"/>
    <x v="2"/>
    <x v="2"/>
    <x v="168"/>
    <x v="66"/>
    <x v="61"/>
  </r>
  <r>
    <x v="57"/>
    <x v="57"/>
    <x v="0"/>
    <x v="0"/>
    <x v="169"/>
    <x v="10"/>
    <x v="41"/>
  </r>
  <r>
    <x v="57"/>
    <x v="57"/>
    <x v="1"/>
    <x v="1"/>
    <x v="170"/>
    <x v="34"/>
    <x v="27"/>
  </r>
  <r>
    <x v="57"/>
    <x v="57"/>
    <x v="2"/>
    <x v="2"/>
    <x v="171"/>
    <x v="67"/>
    <x v="62"/>
  </r>
  <r>
    <x v="58"/>
    <x v="58"/>
    <x v="0"/>
    <x v="0"/>
    <x v="172"/>
    <x v="5"/>
    <x v="63"/>
  </r>
  <r>
    <x v="58"/>
    <x v="58"/>
    <x v="1"/>
    <x v="1"/>
    <x v="173"/>
    <x v="21"/>
    <x v="19"/>
  </r>
  <r>
    <x v="58"/>
    <x v="58"/>
    <x v="2"/>
    <x v="2"/>
    <x v="174"/>
    <x v="68"/>
    <x v="64"/>
  </r>
  <r>
    <x v="59"/>
    <x v="59"/>
    <x v="0"/>
    <x v="0"/>
    <x v="175"/>
    <x v="17"/>
    <x v="52"/>
  </r>
  <r>
    <x v="59"/>
    <x v="59"/>
    <x v="1"/>
    <x v="1"/>
    <x v="176"/>
    <x v="14"/>
    <x v="19"/>
  </r>
  <r>
    <x v="59"/>
    <x v="59"/>
    <x v="2"/>
    <x v="2"/>
    <x v="177"/>
    <x v="69"/>
    <x v="65"/>
  </r>
  <r>
    <x v="60"/>
    <x v="60"/>
    <x v="0"/>
    <x v="0"/>
    <x v="178"/>
    <x v="10"/>
    <x v="4"/>
  </r>
  <r>
    <x v="60"/>
    <x v="60"/>
    <x v="1"/>
    <x v="1"/>
    <x v="179"/>
    <x v="14"/>
    <x v="30"/>
  </r>
  <r>
    <x v="60"/>
    <x v="60"/>
    <x v="2"/>
    <x v="2"/>
    <x v="180"/>
    <x v="69"/>
    <x v="66"/>
  </r>
  <r>
    <x v="61"/>
    <x v="61"/>
    <x v="0"/>
    <x v="0"/>
    <x v="181"/>
    <x v="27"/>
    <x v="5"/>
  </r>
  <r>
    <x v="61"/>
    <x v="61"/>
    <x v="1"/>
    <x v="1"/>
    <x v="182"/>
    <x v="21"/>
    <x v="14"/>
  </r>
  <r>
    <x v="61"/>
    <x v="61"/>
    <x v="2"/>
    <x v="2"/>
    <x v="183"/>
    <x v="65"/>
    <x v="60"/>
  </r>
  <r>
    <x v="62"/>
    <x v="62"/>
    <x v="0"/>
    <x v="0"/>
    <x v="184"/>
    <x v="23"/>
    <x v="35"/>
  </r>
  <r>
    <x v="62"/>
    <x v="62"/>
    <x v="1"/>
    <x v="1"/>
    <x v="185"/>
    <x v="37"/>
    <x v="31"/>
  </r>
  <r>
    <x v="62"/>
    <x v="62"/>
    <x v="2"/>
    <x v="2"/>
    <x v="186"/>
    <x v="67"/>
    <x v="67"/>
  </r>
  <r>
    <x v="63"/>
    <x v="63"/>
    <x v="0"/>
    <x v="0"/>
    <x v="187"/>
    <x v="16"/>
    <x v="5"/>
  </r>
  <r>
    <x v="63"/>
    <x v="63"/>
    <x v="1"/>
    <x v="1"/>
    <x v="188"/>
    <x v="15"/>
    <x v="23"/>
  </r>
  <r>
    <x v="63"/>
    <x v="63"/>
    <x v="2"/>
    <x v="2"/>
    <x v="189"/>
    <x v="70"/>
    <x v="68"/>
  </r>
  <r>
    <x v="64"/>
    <x v="64"/>
    <x v="0"/>
    <x v="0"/>
    <x v="190"/>
    <x v="8"/>
    <x v="69"/>
  </r>
  <r>
    <x v="64"/>
    <x v="64"/>
    <x v="1"/>
    <x v="1"/>
    <x v="191"/>
    <x v="28"/>
    <x v="54"/>
  </r>
  <r>
    <x v="64"/>
    <x v="64"/>
    <x v="2"/>
    <x v="2"/>
    <x v="192"/>
    <x v="66"/>
    <x v="70"/>
  </r>
  <r>
    <x v="65"/>
    <x v="65"/>
    <x v="0"/>
    <x v="0"/>
    <x v="193"/>
    <x v="12"/>
    <x v="29"/>
  </r>
  <r>
    <x v="65"/>
    <x v="65"/>
    <x v="1"/>
    <x v="1"/>
    <x v="194"/>
    <x v="25"/>
    <x v="44"/>
  </r>
  <r>
    <x v="65"/>
    <x v="65"/>
    <x v="2"/>
    <x v="2"/>
    <x v="195"/>
    <x v="67"/>
    <x v="71"/>
  </r>
  <r>
    <x v="66"/>
    <x v="66"/>
    <x v="0"/>
    <x v="0"/>
    <x v="196"/>
    <x v="27"/>
    <x v="72"/>
  </r>
  <r>
    <x v="66"/>
    <x v="66"/>
    <x v="1"/>
    <x v="1"/>
    <x v="197"/>
    <x v="38"/>
    <x v="29"/>
  </r>
  <r>
    <x v="66"/>
    <x v="66"/>
    <x v="2"/>
    <x v="2"/>
    <x v="198"/>
    <x v="68"/>
    <x v="67"/>
  </r>
  <r>
    <x v="67"/>
    <x v="67"/>
    <x v="0"/>
    <x v="0"/>
    <x v="199"/>
    <x v="37"/>
    <x v="73"/>
  </r>
  <r>
    <x v="67"/>
    <x v="67"/>
    <x v="1"/>
    <x v="1"/>
    <x v="200"/>
    <x v="23"/>
    <x v="44"/>
  </r>
  <r>
    <x v="67"/>
    <x v="67"/>
    <x v="2"/>
    <x v="2"/>
    <x v="201"/>
    <x v="70"/>
    <x v="67"/>
  </r>
  <r>
    <x v="68"/>
    <x v="68"/>
    <x v="0"/>
    <x v="0"/>
    <x v="202"/>
    <x v="21"/>
    <x v="30"/>
  </r>
  <r>
    <x v="68"/>
    <x v="68"/>
    <x v="1"/>
    <x v="1"/>
    <x v="203"/>
    <x v="23"/>
    <x v="28"/>
  </r>
  <r>
    <x v="68"/>
    <x v="68"/>
    <x v="2"/>
    <x v="2"/>
    <x v="204"/>
    <x v="71"/>
    <x v="61"/>
  </r>
  <r>
    <x v="69"/>
    <x v="69"/>
    <x v="0"/>
    <x v="0"/>
    <x v="205"/>
    <x v="28"/>
    <x v="30"/>
  </r>
  <r>
    <x v="69"/>
    <x v="69"/>
    <x v="1"/>
    <x v="1"/>
    <x v="206"/>
    <x v="25"/>
    <x v="17"/>
  </r>
  <r>
    <x v="69"/>
    <x v="69"/>
    <x v="2"/>
    <x v="2"/>
    <x v="207"/>
    <x v="70"/>
    <x v="56"/>
  </r>
  <r>
    <x v="70"/>
    <x v="70"/>
    <x v="0"/>
    <x v="0"/>
    <x v="208"/>
    <x v="14"/>
    <x v="9"/>
  </r>
  <r>
    <x v="70"/>
    <x v="70"/>
    <x v="1"/>
    <x v="1"/>
    <x v="209"/>
    <x v="38"/>
    <x v="42"/>
  </r>
  <r>
    <x v="70"/>
    <x v="70"/>
    <x v="2"/>
    <x v="2"/>
    <x v="210"/>
    <x v="72"/>
    <x v="56"/>
  </r>
  <r>
    <x v="71"/>
    <x v="71"/>
    <x v="0"/>
    <x v="0"/>
    <x v="211"/>
    <x v="25"/>
    <x v="2"/>
  </r>
  <r>
    <x v="71"/>
    <x v="71"/>
    <x v="1"/>
    <x v="1"/>
    <x v="212"/>
    <x v="25"/>
    <x v="42"/>
  </r>
  <r>
    <x v="71"/>
    <x v="71"/>
    <x v="2"/>
    <x v="2"/>
    <x v="213"/>
    <x v="73"/>
    <x v="56"/>
  </r>
  <r>
    <x v="72"/>
    <x v="72"/>
    <x v="0"/>
    <x v="0"/>
    <x v="214"/>
    <x v="34"/>
    <x v="14"/>
  </r>
  <r>
    <x v="72"/>
    <x v="72"/>
    <x v="1"/>
    <x v="1"/>
    <x v="215"/>
    <x v="23"/>
    <x v="28"/>
  </r>
  <r>
    <x v="72"/>
    <x v="72"/>
    <x v="2"/>
    <x v="2"/>
    <x v="216"/>
    <x v="70"/>
    <x v="67"/>
  </r>
  <r>
    <x v="73"/>
    <x v="73"/>
    <x v="0"/>
    <x v="0"/>
    <x v="217"/>
    <x v="30"/>
    <x v="30"/>
  </r>
  <r>
    <x v="73"/>
    <x v="73"/>
    <x v="1"/>
    <x v="1"/>
    <x v="218"/>
    <x v="28"/>
    <x v="44"/>
  </r>
  <r>
    <x v="73"/>
    <x v="73"/>
    <x v="2"/>
    <x v="2"/>
    <x v="219"/>
    <x v="71"/>
    <x v="59"/>
  </r>
  <r>
    <x v="74"/>
    <x v="74"/>
    <x v="0"/>
    <x v="0"/>
    <x v="220"/>
    <x v="23"/>
    <x v="74"/>
  </r>
  <r>
    <x v="74"/>
    <x v="74"/>
    <x v="1"/>
    <x v="1"/>
    <x v="221"/>
    <x v="23"/>
    <x v="44"/>
  </r>
  <r>
    <x v="74"/>
    <x v="74"/>
    <x v="2"/>
    <x v="2"/>
    <x v="222"/>
    <x v="73"/>
    <x v="75"/>
  </r>
  <r>
    <x v="75"/>
    <x v="75"/>
    <x v="0"/>
    <x v="0"/>
    <x v="223"/>
    <x v="19"/>
    <x v="4"/>
  </r>
  <r>
    <x v="75"/>
    <x v="75"/>
    <x v="1"/>
    <x v="1"/>
    <x v="224"/>
    <x v="38"/>
    <x v="54"/>
  </r>
  <r>
    <x v="75"/>
    <x v="75"/>
    <x v="2"/>
    <x v="2"/>
    <x v="225"/>
    <x v="74"/>
    <x v="75"/>
  </r>
  <r>
    <x v="76"/>
    <x v="76"/>
    <x v="0"/>
    <x v="0"/>
    <x v="226"/>
    <x v="23"/>
    <x v="60"/>
  </r>
  <r>
    <x v="76"/>
    <x v="76"/>
    <x v="1"/>
    <x v="1"/>
    <x v="227"/>
    <x v="75"/>
    <x v="29"/>
  </r>
  <r>
    <x v="76"/>
    <x v="76"/>
    <x v="2"/>
    <x v="2"/>
    <x v="228"/>
    <x v="74"/>
    <x v="75"/>
  </r>
  <r>
    <x v="77"/>
    <x v="77"/>
    <x v="0"/>
    <x v="0"/>
    <x v="229"/>
    <x v="27"/>
    <x v="32"/>
  </r>
  <r>
    <x v="77"/>
    <x v="77"/>
    <x v="1"/>
    <x v="1"/>
    <x v="230"/>
    <x v="75"/>
    <x v="32"/>
  </r>
  <r>
    <x v="77"/>
    <x v="77"/>
    <x v="2"/>
    <x v="2"/>
    <x v="231"/>
    <x v="76"/>
    <x v="76"/>
  </r>
  <r>
    <x v="78"/>
    <x v="78"/>
    <x v="0"/>
    <x v="0"/>
    <x v="232"/>
    <x v="42"/>
    <x v="77"/>
  </r>
  <r>
    <x v="78"/>
    <x v="78"/>
    <x v="1"/>
    <x v="1"/>
    <x v="233"/>
    <x v="32"/>
    <x v="45"/>
  </r>
  <r>
    <x v="78"/>
    <x v="78"/>
    <x v="2"/>
    <x v="2"/>
    <x v="234"/>
    <x v="73"/>
    <x v="76"/>
  </r>
  <r>
    <x v="79"/>
    <x v="79"/>
    <x v="0"/>
    <x v="0"/>
    <x v="235"/>
    <x v="23"/>
    <x v="78"/>
  </r>
  <r>
    <x v="79"/>
    <x v="79"/>
    <x v="1"/>
    <x v="1"/>
    <x v="236"/>
    <x v="32"/>
    <x v="79"/>
  </r>
  <r>
    <x v="79"/>
    <x v="79"/>
    <x v="2"/>
    <x v="2"/>
    <x v="237"/>
    <x v="76"/>
    <x v="80"/>
  </r>
  <r>
    <x v="80"/>
    <x v="80"/>
    <x v="0"/>
    <x v="0"/>
    <x v="238"/>
    <x v="8"/>
    <x v="17"/>
  </r>
  <r>
    <x v="80"/>
    <x v="80"/>
    <x v="1"/>
    <x v="1"/>
    <x v="239"/>
    <x v="31"/>
    <x v="79"/>
  </r>
  <r>
    <x v="80"/>
    <x v="80"/>
    <x v="2"/>
    <x v="2"/>
    <x v="240"/>
    <x v="77"/>
    <x v="80"/>
  </r>
  <r>
    <x v="81"/>
    <x v="81"/>
    <x v="0"/>
    <x v="0"/>
    <x v="241"/>
    <x v="38"/>
    <x v="14"/>
  </r>
  <r>
    <x v="81"/>
    <x v="81"/>
    <x v="1"/>
    <x v="1"/>
    <x v="242"/>
    <x v="31"/>
    <x v="79"/>
  </r>
  <r>
    <x v="81"/>
    <x v="81"/>
    <x v="2"/>
    <x v="2"/>
    <x v="243"/>
    <x v="78"/>
    <x v="81"/>
  </r>
  <r>
    <x v="82"/>
    <x v="82"/>
    <x v="0"/>
    <x v="0"/>
    <x v="244"/>
    <x v="15"/>
    <x v="16"/>
  </r>
  <r>
    <x v="82"/>
    <x v="82"/>
    <x v="1"/>
    <x v="1"/>
    <x v="245"/>
    <x v="32"/>
    <x v="82"/>
  </r>
  <r>
    <x v="82"/>
    <x v="82"/>
    <x v="2"/>
    <x v="2"/>
    <x v="246"/>
    <x v="78"/>
    <x v="76"/>
  </r>
  <r>
    <x v="83"/>
    <x v="83"/>
    <x v="0"/>
    <x v="0"/>
    <x v="247"/>
    <x v="32"/>
    <x v="19"/>
  </r>
  <r>
    <x v="83"/>
    <x v="83"/>
    <x v="1"/>
    <x v="1"/>
    <x v="248"/>
    <x v="51"/>
    <x v="82"/>
  </r>
  <r>
    <x v="83"/>
    <x v="83"/>
    <x v="2"/>
    <x v="2"/>
    <x v="249"/>
    <x v="79"/>
    <x v="81"/>
  </r>
  <r>
    <x v="84"/>
    <x v="84"/>
    <x v="0"/>
    <x v="0"/>
    <x v="250"/>
    <x v="48"/>
    <x v="74"/>
  </r>
  <r>
    <x v="84"/>
    <x v="84"/>
    <x v="1"/>
    <x v="1"/>
    <x v="251"/>
    <x v="32"/>
    <x v="79"/>
  </r>
  <r>
    <x v="84"/>
    <x v="84"/>
    <x v="2"/>
    <x v="2"/>
    <x v="252"/>
    <x v="80"/>
    <x v="83"/>
  </r>
  <r>
    <x v="85"/>
    <x v="85"/>
    <x v="0"/>
    <x v="0"/>
    <x v="253"/>
    <x v="19"/>
    <x v="19"/>
  </r>
  <r>
    <x v="85"/>
    <x v="85"/>
    <x v="1"/>
    <x v="1"/>
    <x v="254"/>
    <x v="81"/>
    <x v="34"/>
  </r>
  <r>
    <x v="85"/>
    <x v="85"/>
    <x v="2"/>
    <x v="2"/>
    <x v="255"/>
    <x v="77"/>
    <x v="81"/>
  </r>
  <r>
    <x v="86"/>
    <x v="86"/>
    <x v="0"/>
    <x v="0"/>
    <x v="256"/>
    <x v="42"/>
    <x v="31"/>
  </r>
  <r>
    <x v="86"/>
    <x v="86"/>
    <x v="1"/>
    <x v="1"/>
    <x v="257"/>
    <x v="41"/>
    <x v="84"/>
  </r>
  <r>
    <x v="86"/>
    <x v="86"/>
    <x v="2"/>
    <x v="2"/>
    <x v="258"/>
    <x v="82"/>
    <x v="85"/>
  </r>
  <r>
    <x v="87"/>
    <x v="87"/>
    <x v="0"/>
    <x v="0"/>
    <x v="253"/>
    <x v="30"/>
    <x v="30"/>
  </r>
  <r>
    <x v="87"/>
    <x v="87"/>
    <x v="1"/>
    <x v="1"/>
    <x v="259"/>
    <x v="41"/>
    <x v="84"/>
  </r>
  <r>
    <x v="87"/>
    <x v="87"/>
    <x v="2"/>
    <x v="2"/>
    <x v="260"/>
    <x v="80"/>
    <x v="83"/>
  </r>
  <r>
    <x v="88"/>
    <x v="88"/>
    <x v="0"/>
    <x v="0"/>
    <x v="261"/>
    <x v="42"/>
    <x v="31"/>
  </r>
  <r>
    <x v="88"/>
    <x v="88"/>
    <x v="1"/>
    <x v="1"/>
    <x v="262"/>
    <x v="40"/>
    <x v="73"/>
  </r>
  <r>
    <x v="88"/>
    <x v="88"/>
    <x v="2"/>
    <x v="2"/>
    <x v="263"/>
    <x v="82"/>
    <x v="85"/>
  </r>
  <r>
    <x v="89"/>
    <x v="89"/>
    <x v="0"/>
    <x v="0"/>
    <x v="264"/>
    <x v="20"/>
    <x v="10"/>
  </r>
  <r>
    <x v="89"/>
    <x v="89"/>
    <x v="1"/>
    <x v="1"/>
    <x v="265"/>
    <x v="83"/>
    <x v="51"/>
  </r>
  <r>
    <x v="89"/>
    <x v="89"/>
    <x v="2"/>
    <x v="2"/>
    <x v="266"/>
    <x v="84"/>
    <x v="86"/>
  </r>
  <r>
    <x v="90"/>
    <x v="90"/>
    <x v="0"/>
    <x v="0"/>
    <x v="267"/>
    <x v="75"/>
    <x v="29"/>
  </r>
  <r>
    <x v="90"/>
    <x v="90"/>
    <x v="1"/>
    <x v="1"/>
    <x v="268"/>
    <x v="85"/>
    <x v="87"/>
  </r>
  <r>
    <x v="90"/>
    <x v="90"/>
    <x v="2"/>
    <x v="2"/>
    <x v="269"/>
    <x v="82"/>
    <x v="85"/>
  </r>
  <r>
    <x v="91"/>
    <x v="91"/>
    <x v="0"/>
    <x v="0"/>
    <x v="270"/>
    <x v="81"/>
    <x v="34"/>
  </r>
  <r>
    <x v="91"/>
    <x v="91"/>
    <x v="1"/>
    <x v="1"/>
    <x v="271"/>
    <x v="86"/>
    <x v="78"/>
  </r>
  <r>
    <x v="91"/>
    <x v="91"/>
    <x v="2"/>
    <x v="2"/>
    <x v="272"/>
    <x v="82"/>
    <x v="85"/>
  </r>
  <r>
    <x v="92"/>
    <x v="92"/>
    <x v="0"/>
    <x v="0"/>
    <x v="273"/>
    <x v="34"/>
    <x v="33"/>
  </r>
  <r>
    <x v="92"/>
    <x v="92"/>
    <x v="1"/>
    <x v="1"/>
    <x v="274"/>
    <x v="87"/>
    <x v="88"/>
  </r>
  <r>
    <x v="92"/>
    <x v="92"/>
    <x v="2"/>
    <x v="2"/>
    <x v="275"/>
    <x v="88"/>
    <x v="89"/>
  </r>
  <r>
    <x v="93"/>
    <x v="93"/>
    <x v="0"/>
    <x v="0"/>
    <x v="276"/>
    <x v="89"/>
    <x v="90"/>
  </r>
  <r>
    <x v="93"/>
    <x v="93"/>
    <x v="1"/>
    <x v="1"/>
    <x v="277"/>
    <x v="61"/>
    <x v="69"/>
  </r>
  <r>
    <x v="93"/>
    <x v="93"/>
    <x v="2"/>
    <x v="2"/>
    <x v="278"/>
    <x v="88"/>
    <x v="89"/>
  </r>
  <r>
    <x v="94"/>
    <x v="94"/>
    <x v="0"/>
    <x v="0"/>
    <x v="279"/>
    <x v="81"/>
    <x v="34"/>
  </r>
  <r>
    <x v="94"/>
    <x v="94"/>
    <x v="1"/>
    <x v="1"/>
    <x v="280"/>
    <x v="86"/>
    <x v="78"/>
  </r>
  <r>
    <x v="94"/>
    <x v="94"/>
    <x v="2"/>
    <x v="2"/>
    <x v="281"/>
    <x v="88"/>
    <x v="89"/>
  </r>
  <r>
    <x v="95"/>
    <x v="95"/>
    <x v="0"/>
    <x v="0"/>
    <x v="282"/>
    <x v="90"/>
    <x v="57"/>
  </r>
  <r>
    <x v="95"/>
    <x v="95"/>
    <x v="1"/>
    <x v="1"/>
    <x v="283"/>
    <x v="87"/>
    <x v="88"/>
  </r>
  <r>
    <x v="95"/>
    <x v="95"/>
    <x v="2"/>
    <x v="2"/>
    <x v="284"/>
    <x v="91"/>
    <x v="91"/>
  </r>
  <r>
    <x v="96"/>
    <x v="96"/>
    <x v="0"/>
    <x v="0"/>
    <x v="285"/>
    <x v="37"/>
    <x v="17"/>
  </r>
  <r>
    <x v="96"/>
    <x v="96"/>
    <x v="1"/>
    <x v="1"/>
    <x v="286"/>
    <x v="85"/>
    <x v="87"/>
  </r>
  <r>
    <x v="96"/>
    <x v="96"/>
    <x v="2"/>
    <x v="2"/>
    <x v="287"/>
    <x v="92"/>
    <x v="92"/>
  </r>
  <r>
    <x v="97"/>
    <x v="97"/>
    <x v="0"/>
    <x v="0"/>
    <x v="288"/>
    <x v="59"/>
    <x v="2"/>
  </r>
  <r>
    <x v="97"/>
    <x v="97"/>
    <x v="1"/>
    <x v="1"/>
    <x v="289"/>
    <x v="93"/>
    <x v="93"/>
  </r>
  <r>
    <x v="97"/>
    <x v="97"/>
    <x v="2"/>
    <x v="2"/>
    <x v="290"/>
    <x v="94"/>
    <x v="94"/>
  </r>
  <r>
    <x v="98"/>
    <x v="98"/>
    <x v="0"/>
    <x v="0"/>
    <x v="291"/>
    <x v="15"/>
    <x v="23"/>
  </r>
  <r>
    <x v="98"/>
    <x v="98"/>
    <x v="1"/>
    <x v="1"/>
    <x v="292"/>
    <x v="61"/>
    <x v="69"/>
  </r>
  <r>
    <x v="98"/>
    <x v="98"/>
    <x v="2"/>
    <x v="2"/>
    <x v="293"/>
    <x v="95"/>
    <x v="95"/>
  </r>
  <r>
    <x v="99"/>
    <x v="99"/>
    <x v="0"/>
    <x v="0"/>
    <x v="294"/>
    <x v="41"/>
    <x v="84"/>
  </r>
  <r>
    <x v="99"/>
    <x v="99"/>
    <x v="1"/>
    <x v="1"/>
    <x v="295"/>
    <x v="96"/>
    <x v="96"/>
  </r>
  <r>
    <x v="99"/>
    <x v="99"/>
    <x v="2"/>
    <x v="2"/>
    <x v="296"/>
    <x v="92"/>
    <x v="92"/>
  </r>
  <r>
    <x v="100"/>
    <x v="100"/>
    <x v="0"/>
    <x v="0"/>
    <x v="297"/>
    <x v="15"/>
    <x v="23"/>
  </r>
  <r>
    <x v="100"/>
    <x v="100"/>
    <x v="1"/>
    <x v="1"/>
    <x v="298"/>
    <x v="85"/>
    <x v="87"/>
  </r>
  <r>
    <x v="100"/>
    <x v="100"/>
    <x v="2"/>
    <x v="2"/>
    <x v="299"/>
    <x v="97"/>
    <x v="97"/>
  </r>
  <r>
    <x v="101"/>
    <x v="101"/>
    <x v="0"/>
    <x v="0"/>
    <x v="300"/>
    <x v="35"/>
    <x v="32"/>
  </r>
  <r>
    <x v="101"/>
    <x v="101"/>
    <x v="1"/>
    <x v="1"/>
    <x v="301"/>
    <x v="61"/>
    <x v="69"/>
  </r>
  <r>
    <x v="101"/>
    <x v="101"/>
    <x v="2"/>
    <x v="2"/>
    <x v="302"/>
    <x v="98"/>
    <x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4:K18" firstHeaderRow="1" firstDataRow="2" firstDataCol="1"/>
  <pivotFields count="5">
    <pivotField compact="0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sortType="ascending" showAll="0">
      <items count="24">
        <item x="0"/>
        <item m="1" x="12"/>
        <item x="1"/>
        <item m="1" x="13"/>
        <item x="2"/>
        <item m="1" x="14"/>
        <item x="3"/>
        <item m="1" x="15"/>
        <item x="4"/>
        <item x="5"/>
        <item m="1" x="16"/>
        <item x="6"/>
        <item m="1" x="17"/>
        <item x="7"/>
        <item m="1" x="18"/>
        <item x="8"/>
        <item m="1" x="19"/>
        <item x="9"/>
        <item m="1" x="20"/>
        <item x="10"/>
        <item m="1" x="21"/>
        <item x="11"/>
        <item m="1" x="22"/>
        <item t="default"/>
      </items>
    </pivotField>
    <pivotField compact="0" showAll="0"/>
    <pivotField axis="axisCol" compact="0" showAll="0">
      <items count="4">
        <item x="0"/>
        <item x="2"/>
        <item x="1"/>
        <item t="default"/>
      </items>
    </pivotField>
    <pivotField dataField="1" compact="0" numFmtId="4" showAll="0">
      <items count="36">
        <item x="0"/>
        <item x="14"/>
        <item x="3"/>
        <item x="23"/>
        <item x="11"/>
        <item x="6"/>
        <item x="17"/>
        <item x="20"/>
        <item x="29"/>
        <item x="26"/>
        <item x="32"/>
        <item x="5"/>
        <item x="4"/>
        <item x="2"/>
        <item x="10"/>
        <item x="1"/>
        <item x="8"/>
        <item x="19"/>
        <item x="13"/>
        <item x="9"/>
        <item x="22"/>
        <item x="16"/>
        <item x="7"/>
        <item x="12"/>
        <item x="15"/>
        <item x="25"/>
        <item x="31"/>
        <item x="28"/>
        <item x="21"/>
        <item x="18"/>
        <item x="30"/>
        <item x="34"/>
        <item x="24"/>
        <item x="33"/>
        <item x="27"/>
        <item t="default"/>
      </items>
    </pivotField>
  </pivotFields>
  <rowFields count="1">
    <field x="1"/>
  </rowFields>
  <rowItems count="13">
    <i>
      <x/>
    </i>
    <i>
      <x v="2"/>
    </i>
    <i>
      <x v="4"/>
    </i>
    <i>
      <x v="6"/>
    </i>
    <i>
      <x v="8"/>
    </i>
    <i>
      <x v="9"/>
    </i>
    <i>
      <x v="11"/>
    </i>
    <i>
      <x v="13"/>
    </i>
    <i>
      <x v="15"/>
    </i>
    <i>
      <x v="17"/>
    </i>
    <i>
      <x v="19"/>
    </i>
    <i>
      <x v="2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monthly_sales(RM millions)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G4:K15" firstHeaderRow="1" firstDataRow="2" firstDataCol="1"/>
  <pivotFields count="4">
    <pivotField axis="axisRow"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/>
    <pivotField axis="axisCol" compact="0" showAll="0">
      <items count="4">
        <item x="0"/>
        <item x="2"/>
        <item x="1"/>
        <item t="default"/>
      </items>
    </pivotField>
    <pivotField dataField="1" compact="0" numFmtId="4" showAll="0">
      <items count="28">
        <item x="24"/>
        <item x="9"/>
        <item x="6"/>
        <item x="0"/>
        <item x="3"/>
        <item x="12"/>
        <item x="15"/>
        <item x="18"/>
        <item x="21"/>
        <item x="26"/>
        <item x="25"/>
        <item x="2"/>
        <item x="8"/>
        <item x="11"/>
        <item x="5"/>
        <item x="7"/>
        <item x="1"/>
        <item x="4"/>
        <item x="10"/>
        <item x="14"/>
        <item x="13"/>
        <item x="17"/>
        <item x="16"/>
        <item x="20"/>
        <item x="19"/>
        <item x="23"/>
        <item x="22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total_sales(RM millions)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5:B29" firstHeaderRow="1" firstDataRow="1" firstDataCol="1"/>
  <pivotFields count="4">
    <pivotField compact="0" showAll="0">
      <items count="4">
        <item x="2"/>
        <item x="0"/>
        <item x="1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dataField="1" compact="0" numFmtId="4" showAll="0">
      <items count="4">
        <item x="2"/>
        <item x="1"/>
        <item x="0"/>
        <item t="default"/>
      </items>
    </pivotField>
    <pivotField compact="0" numFmtId="1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(RM millions)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A18:B22" firstHeaderRow="1" firstDataRow="1" firstDataCol="1"/>
  <pivotFields count="4">
    <pivotField compact="0" showAll="0">
      <items count="4">
        <item x="2"/>
        <item x="0"/>
        <item x="1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compact="0" numFmtId="4" showAll="0"/>
    <pivotField dataField="1" compact="0" numFmtId="10" showAll="0">
      <items count="4">
        <item x="2"/>
        <item x="1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es_contribution_pct" fld="3" subtotal="average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5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I3:M107" firstHeaderRow="1" firstDataRow="2" firstDataCol="1"/>
  <pivotFields count="7">
    <pivotField compact="0" numFmtId="58" showAll="0">
      <items count="1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axis="axisRow" compact="0" numFmtId="177" showAll="0">
      <items count="1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compact="0" showAll="0"/>
    <pivotField axis="axisCol" compact="0" showAll="0">
      <items count="4">
        <item x="0"/>
        <item x="2"/>
        <item x="1"/>
        <item t="default"/>
      </items>
    </pivotField>
    <pivotField compact="0" numFmtId="4" showAll="0"/>
    <pivotField compact="0" showAll="0"/>
    <pivotField dataField="1" compact="0" showAll="0">
      <items count="100">
        <item x="37"/>
        <item x="46"/>
        <item x="47"/>
        <item x="48"/>
        <item x="40"/>
        <item x="49"/>
        <item x="36"/>
        <item x="39"/>
        <item x="38"/>
        <item x="18"/>
        <item x="6"/>
        <item x="22"/>
        <item x="0"/>
        <item x="3"/>
        <item x="20"/>
        <item x="8"/>
        <item x="24"/>
        <item x="11"/>
        <item x="25"/>
        <item x="15"/>
        <item x="26"/>
        <item x="13"/>
        <item x="41"/>
        <item x="50"/>
        <item x="43"/>
        <item x="63"/>
        <item x="58"/>
        <item x="52"/>
        <item x="74"/>
        <item x="1"/>
        <item x="4"/>
        <item x="2"/>
        <item x="5"/>
        <item x="7"/>
        <item x="9"/>
        <item x="16"/>
        <item x="10"/>
        <item x="27"/>
        <item x="35"/>
        <item x="19"/>
        <item x="30"/>
        <item x="12"/>
        <item x="33"/>
        <item x="21"/>
        <item x="14"/>
        <item x="23"/>
        <item x="17"/>
        <item x="42"/>
        <item x="28"/>
        <item x="54"/>
        <item x="44"/>
        <item x="31"/>
        <item x="29"/>
        <item x="32"/>
        <item x="34"/>
        <item x="82"/>
        <item x="79"/>
        <item x="45"/>
        <item x="84"/>
        <item x="90"/>
        <item x="73"/>
        <item x="51"/>
        <item x="53"/>
        <item x="93"/>
        <item x="78"/>
        <item x="87"/>
        <item x="88"/>
        <item x="69"/>
        <item x="72"/>
        <item x="96"/>
        <item x="57"/>
        <item x="77"/>
        <item x="66"/>
        <item x="65"/>
        <item x="62"/>
        <item x="64"/>
        <item x="60"/>
        <item x="70"/>
        <item x="71"/>
        <item x="56"/>
        <item x="67"/>
        <item x="68"/>
        <item x="61"/>
        <item x="55"/>
        <item x="59"/>
        <item x="75"/>
        <item x="76"/>
        <item x="81"/>
        <item x="80"/>
        <item x="83"/>
        <item x="85"/>
        <item x="86"/>
        <item x="89"/>
        <item x="94"/>
        <item x="92"/>
        <item x="91"/>
        <item x="97"/>
        <item x="98"/>
        <item x="95"/>
        <item t="default"/>
      </items>
    </pivotField>
  </pivotFields>
  <rowFields count="1">
    <field x="1"/>
  </rowFields>
  <rowItems count="1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Average of volume_index_sa(2015=100)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1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xternalData_1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ExternalData_1" connectionId="5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id="6" name="Table6" displayName="Table6" ref="F37:G41" totalsRowShown="0">
  <tableColumns count="2">
    <tableColumn id="1" name="Division"/>
    <tableColumn id="2" name="Total Sales(RM millions)"/>
  </tableColumns>
  <tableStyleInfo name="TableStylePreset1_Accent2" showFirstColumn="0" showLastColumn="0" showRowStripes="1" showColumnStripes="0"/>
</table>
</file>

<file path=xl/tables/table2.xml><?xml version="1.0" encoding="utf-8"?>
<table xmlns="http://schemas.openxmlformats.org/spreadsheetml/2006/main" id="7" name="Table7" displayName="Table7" ref="A11:C14" totalsRowShown="0">
  <tableColumns count="3">
    <tableColumn id="1" name="Division" dataDxfId="0"/>
    <tableColumn id="2" name="mom sales growth" dataDxfId="1">
      <calculatedColumnFormula>_xlfn.XLOOKUP($A12,latest_growth_analysis!$C$5:$C$7,latest_growth_analysis!$D$5:$D$7)</calculatedColumnFormula>
    </tableColumn>
    <tableColumn id="3" name="yoy sales growth" dataDxfId="2">
      <calculatedColumnFormula>_xlfn.XLOOKUP($A12,latest_growth_analysis!$C$12:$C$14,latest_growth_analysis!$D$12:$D$14)</calculatedColumnFormula>
    </tableColumn>
  </tableColumns>
  <tableStyleInfo name="TableStylePreset1_Accent2" showFirstColumn="0" showLastColumn="0" showRowStripes="1" showColumnStripes="0"/>
</table>
</file>

<file path=xl/tables/table3.xml><?xml version="1.0" encoding="utf-8"?>
<table xmlns="http://schemas.openxmlformats.org/spreadsheetml/2006/main" id="8" name="Table8" displayName="Table8" ref="A67:D70" totalsRowShown="0">
  <tableColumns count="4">
    <tableColumn id="1" name="Division" dataDxfId="3"/>
    <tableColumn id="3" name="Avg Sales" dataDxfId="4"/>
    <tableColumn id="4" name="Min Sales" dataDxfId="5"/>
    <tableColumn id="5" name="Max Sales" dataDxfId="6"/>
  </tableColumns>
  <tableStyleInfo name="TableStylePreset1_Accen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queryTable" Target="../queryTables/queryTable5.xml"/><Relationship Id="rId3" Type="http://schemas.openxmlformats.org/officeDocument/2006/relationships/vmlDrawing" Target="../drawings/vmlDrawing1.vml"/><Relationship Id="rId2" Type="http://schemas.openxmlformats.org/officeDocument/2006/relationships/pivotTable" Target="../pivotTables/pivotTable5.x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4" Type="http://schemas.openxmlformats.org/officeDocument/2006/relationships/table" Target="../tables/table3.xml"/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topLeftCell="E1" workbookViewId="0">
      <selection activeCell="G10" sqref="G10"/>
    </sheetView>
  </sheetViews>
  <sheetFormatPr defaultColWidth="8.72727272727273" defaultRowHeight="14.5"/>
  <cols>
    <col min="1" max="2" width="7.09090909090909" customWidth="1"/>
    <col min="3" max="3" width="7.90909090909091" customWidth="1"/>
    <col min="4" max="4" width="28.4545454545455" customWidth="1"/>
    <col min="5" max="5" width="26.3636363636364" style="16" customWidth="1"/>
    <col min="7" max="7" width="33.5454545454545"/>
    <col min="8" max="10" width="28.4545454545455"/>
    <col min="11" max="11" width="11.5454545454545"/>
  </cols>
  <sheetData>
    <row r="1" spans="1:4">
      <c r="A1" s="38" t="s">
        <v>0</v>
      </c>
      <c r="B1" s="38"/>
      <c r="C1" s="38"/>
      <c r="D1" s="38"/>
    </row>
    <row r="3" spans="1:5">
      <c r="A3" t="s">
        <v>1</v>
      </c>
      <c r="B3" t="s">
        <v>2</v>
      </c>
      <c r="C3" t="s">
        <v>3</v>
      </c>
      <c r="D3" t="s">
        <v>4</v>
      </c>
      <c r="E3" s="16" t="s">
        <v>5</v>
      </c>
    </row>
    <row r="4" spans="1:8">
      <c r="A4">
        <v>1</v>
      </c>
      <c r="B4" t="str">
        <f>TEXT(DATE(2025,$A4,1),"mmm")</f>
        <v>Jan</v>
      </c>
      <c r="C4">
        <v>45</v>
      </c>
      <c r="D4" t="str" cm="1">
        <f t="array" ref="D4">_xlfn.IFS($C4=45,"Motor Vehicles &amp; Motorcycles",$C4=46,"Wholesale Trade",$C4=47,"Retail Trade")</f>
        <v>Motor Vehicles &amp; Motorcycles</v>
      </c>
      <c r="E4" s="16">
        <v>16009</v>
      </c>
      <c r="G4" t="s">
        <v>6</v>
      </c>
      <c r="H4" t="s">
        <v>4</v>
      </c>
    </row>
    <row r="5" spans="1:11">
      <c r="A5">
        <v>1</v>
      </c>
      <c r="B5" t="str">
        <f t="shared" ref="B5:B39" si="0">TEXT(DATE(2025,$A5,1),"mmm")</f>
        <v>Jan</v>
      </c>
      <c r="C5">
        <v>46</v>
      </c>
      <c r="D5" t="str" cm="1">
        <f t="array" ref="D5">_xlfn.IFS($C5=45,"Motor Vehicles &amp; Motorcycles",$C5=46,"Wholesale Trade",$C5=47,"Retail Trade")</f>
        <v>Wholesale Trade</v>
      </c>
      <c r="E5" s="16">
        <v>66783</v>
      </c>
      <c r="G5" t="s">
        <v>2</v>
      </c>
      <c r="H5" t="s">
        <v>7</v>
      </c>
      <c r="I5" t="s">
        <v>8</v>
      </c>
      <c r="J5" t="s">
        <v>9</v>
      </c>
      <c r="K5" t="s">
        <v>10</v>
      </c>
    </row>
    <row r="6" spans="1:11">
      <c r="A6">
        <v>1</v>
      </c>
      <c r="B6" t="str">
        <f t="shared" si="0"/>
        <v>Jan</v>
      </c>
      <c r="C6">
        <v>47</v>
      </c>
      <c r="D6" t="str" cm="1">
        <f t="array" ref="D6">_xlfn.IFS($C6=45,"Motor Vehicles &amp; Motorcycles",$C6=46,"Wholesale Trade",$C6=47,"Retail Trade")</f>
        <v>Retail Trade</v>
      </c>
      <c r="E6" s="16">
        <v>66118</v>
      </c>
      <c r="G6" t="s">
        <v>11</v>
      </c>
      <c r="H6">
        <v>16009</v>
      </c>
      <c r="I6">
        <v>66118</v>
      </c>
      <c r="J6">
        <v>66783</v>
      </c>
      <c r="K6">
        <v>148910</v>
      </c>
    </row>
    <row r="7" spans="1:11">
      <c r="A7">
        <v>2</v>
      </c>
      <c r="B7" t="str">
        <f t="shared" si="0"/>
        <v>Feb</v>
      </c>
      <c r="C7">
        <v>45</v>
      </c>
      <c r="D7" t="str" cm="1">
        <f t="array" ref="D7">_xlfn.IFS($C7=45,"Motor Vehicles &amp; Motorcycles",$C7=46,"Wholesale Trade",$C7=47,"Retail Trade")</f>
        <v>Motor Vehicles &amp; Motorcycles</v>
      </c>
      <c r="E7" s="16">
        <v>17626</v>
      </c>
      <c r="G7" t="s">
        <v>12</v>
      </c>
      <c r="H7">
        <v>17626</v>
      </c>
      <c r="I7">
        <v>65070</v>
      </c>
      <c r="J7">
        <v>65799</v>
      </c>
      <c r="K7">
        <v>148495</v>
      </c>
    </row>
    <row r="8" spans="1:11">
      <c r="A8">
        <v>2</v>
      </c>
      <c r="B8" t="str">
        <f t="shared" si="0"/>
        <v>Feb</v>
      </c>
      <c r="C8">
        <v>46</v>
      </c>
      <c r="D8" t="str" cm="1">
        <f t="array" ref="D8">_xlfn.IFS($C8=45,"Motor Vehicles &amp; Motorcycles",$C8=46,"Wholesale Trade",$C8=47,"Retail Trade")</f>
        <v>Wholesale Trade</v>
      </c>
      <c r="E8" s="16">
        <v>65799</v>
      </c>
      <c r="G8" t="s">
        <v>13</v>
      </c>
      <c r="H8">
        <v>19243</v>
      </c>
      <c r="I8">
        <v>66984</v>
      </c>
      <c r="J8">
        <v>67755</v>
      </c>
      <c r="K8">
        <v>153982</v>
      </c>
    </row>
    <row r="9" spans="1:11">
      <c r="A9">
        <v>2</v>
      </c>
      <c r="B9" t="str">
        <f t="shared" si="0"/>
        <v>Feb</v>
      </c>
      <c r="C9">
        <v>47</v>
      </c>
      <c r="D9" t="str" cm="1">
        <f t="array" ref="D9">_xlfn.IFS($C9=45,"Motor Vehicles &amp; Motorcycles",$C9=46,"Wholesale Trade",$C9=47,"Retail Trade")</f>
        <v>Retail Trade</v>
      </c>
      <c r="E9" s="16">
        <v>65070</v>
      </c>
      <c r="G9" t="s">
        <v>14</v>
      </c>
      <c r="H9">
        <v>17626</v>
      </c>
      <c r="I9">
        <v>66759</v>
      </c>
      <c r="J9">
        <v>67321</v>
      </c>
      <c r="K9">
        <v>151706</v>
      </c>
    </row>
    <row r="10" spans="1:11">
      <c r="A10">
        <v>3</v>
      </c>
      <c r="B10" t="str">
        <f t="shared" si="0"/>
        <v>Mar</v>
      </c>
      <c r="C10">
        <v>45</v>
      </c>
      <c r="D10" t="str" cm="1">
        <f t="array" ref="D10">_xlfn.IFS($C10=45,"Motor Vehicles &amp; Motorcycles",$C10=46,"Wholesale Trade",$C10=47,"Retail Trade")</f>
        <v>Motor Vehicles &amp; Motorcycles</v>
      </c>
      <c r="E10" s="16">
        <v>19243</v>
      </c>
      <c r="G10" t="s">
        <v>15</v>
      </c>
      <c r="H10">
        <v>19069</v>
      </c>
      <c r="I10">
        <v>67068</v>
      </c>
      <c r="J10">
        <v>68204</v>
      </c>
      <c r="K10">
        <v>154341</v>
      </c>
    </row>
    <row r="11" spans="1:11">
      <c r="A11">
        <v>3</v>
      </c>
      <c r="B11" t="str">
        <f t="shared" si="0"/>
        <v>Mar</v>
      </c>
      <c r="C11">
        <v>46</v>
      </c>
      <c r="D11" t="str" cm="1">
        <f t="array" ref="D11">_xlfn.IFS($C11=45,"Motor Vehicles &amp; Motorcycles",$C11=46,"Wholesale Trade",$C11=47,"Retail Trade")</f>
        <v>Wholesale Trade</v>
      </c>
      <c r="E11" s="16">
        <v>67755</v>
      </c>
      <c r="G11" t="s">
        <v>16</v>
      </c>
      <c r="H11">
        <v>17133</v>
      </c>
      <c r="I11">
        <v>67542</v>
      </c>
      <c r="J11">
        <v>68295</v>
      </c>
      <c r="K11">
        <v>152970</v>
      </c>
    </row>
    <row r="12" spans="1:11">
      <c r="A12">
        <v>3</v>
      </c>
      <c r="B12" t="str">
        <f t="shared" si="0"/>
        <v>Mar</v>
      </c>
      <c r="C12">
        <v>47</v>
      </c>
      <c r="D12" t="str" cm="1">
        <f t="array" ref="D12">_xlfn.IFS($C12=45,"Motor Vehicles &amp; Motorcycles",$C12=46,"Wholesale Trade",$C12=47,"Retail Trade")</f>
        <v>Retail Trade</v>
      </c>
      <c r="E12" s="16">
        <v>66984</v>
      </c>
      <c r="G12" t="s">
        <v>17</v>
      </c>
      <c r="H12">
        <v>19286</v>
      </c>
      <c r="I12">
        <v>67013</v>
      </c>
      <c r="J12">
        <v>70130</v>
      </c>
      <c r="K12">
        <v>156429</v>
      </c>
    </row>
    <row r="13" spans="1:11">
      <c r="A13">
        <v>4</v>
      </c>
      <c r="B13" t="str">
        <f t="shared" si="0"/>
        <v>Apr</v>
      </c>
      <c r="C13">
        <v>45</v>
      </c>
      <c r="D13" t="str" cm="1">
        <f t="array" ref="D13">_xlfn.IFS($C13=45,"Motor Vehicles &amp; Motorcycles",$C13=46,"Wholesale Trade",$C13=47,"Retail Trade")</f>
        <v>Motor Vehicles &amp; Motorcycles</v>
      </c>
      <c r="E13" s="16">
        <v>17626</v>
      </c>
      <c r="G13" t="s">
        <v>18</v>
      </c>
      <c r="H13">
        <v>19618</v>
      </c>
      <c r="I13">
        <v>67327</v>
      </c>
      <c r="J13">
        <v>69642</v>
      </c>
      <c r="K13">
        <v>156587</v>
      </c>
    </row>
    <row r="14" spans="1:11">
      <c r="A14">
        <v>4</v>
      </c>
      <c r="B14" t="str">
        <f t="shared" si="0"/>
        <v>Apr</v>
      </c>
      <c r="C14">
        <v>46</v>
      </c>
      <c r="D14" t="str" cm="1">
        <f t="array" ref="D14">_xlfn.IFS($C14=45,"Motor Vehicles &amp; Motorcycles",$C14=46,"Wholesale Trade",$C14=47,"Retail Trade")</f>
        <v>Wholesale Trade</v>
      </c>
      <c r="E14" s="16">
        <v>67321</v>
      </c>
      <c r="G14" t="s">
        <v>19</v>
      </c>
      <c r="H14">
        <v>18041</v>
      </c>
      <c r="I14">
        <v>68916</v>
      </c>
      <c r="J14">
        <v>71054</v>
      </c>
      <c r="K14">
        <v>158011</v>
      </c>
    </row>
    <row r="15" spans="1:11">
      <c r="A15">
        <v>4</v>
      </c>
      <c r="B15" t="str">
        <f t="shared" si="0"/>
        <v>Apr</v>
      </c>
      <c r="C15">
        <v>47</v>
      </c>
      <c r="D15" t="str" cm="1">
        <f t="array" ref="D15">_xlfn.IFS($C15=45,"Motor Vehicles &amp; Motorcycles",$C15=46,"Wholesale Trade",$C15=47,"Retail Trade")</f>
        <v>Retail Trade</v>
      </c>
      <c r="E15" s="16">
        <v>66759</v>
      </c>
      <c r="G15" t="s">
        <v>20</v>
      </c>
      <c r="H15">
        <v>20412</v>
      </c>
      <c r="I15">
        <v>69325</v>
      </c>
      <c r="J15">
        <v>71173</v>
      </c>
      <c r="K15">
        <v>160910</v>
      </c>
    </row>
    <row r="16" spans="1:11">
      <c r="A16">
        <v>5</v>
      </c>
      <c r="B16" t="str">
        <f t="shared" si="0"/>
        <v>May</v>
      </c>
      <c r="C16">
        <v>45</v>
      </c>
      <c r="D16" t="str" cm="1">
        <f t="array" ref="D16">_xlfn.IFS($C16=45,"Motor Vehicles &amp; Motorcycles",$C16=46,"Wholesale Trade",$C16=47,"Retail Trade")</f>
        <v>Motor Vehicles &amp; Motorcycles</v>
      </c>
      <c r="E16" s="16">
        <v>19069</v>
      </c>
      <c r="G16" t="s">
        <v>21</v>
      </c>
      <c r="H16">
        <v>19790</v>
      </c>
      <c r="I16">
        <v>69015</v>
      </c>
      <c r="J16">
        <v>70144</v>
      </c>
      <c r="K16">
        <v>158949</v>
      </c>
    </row>
    <row r="17" spans="1:11">
      <c r="A17">
        <v>5</v>
      </c>
      <c r="B17" t="str">
        <f t="shared" si="0"/>
        <v>May</v>
      </c>
      <c r="C17">
        <v>46</v>
      </c>
      <c r="D17" t="str" cm="1">
        <f t="array" ref="D17">_xlfn.IFS($C17=45,"Motor Vehicles &amp; Motorcycles",$C17=46,"Wholesale Trade",$C17=47,"Retail Trade")</f>
        <v>Wholesale Trade</v>
      </c>
      <c r="E17" s="16">
        <v>68204</v>
      </c>
      <c r="G17" t="s">
        <v>22</v>
      </c>
      <c r="H17">
        <v>22277</v>
      </c>
      <c r="I17">
        <v>70375</v>
      </c>
      <c r="J17">
        <v>71067</v>
      </c>
      <c r="K17">
        <v>163719</v>
      </c>
    </row>
    <row r="18" spans="1:11">
      <c r="A18">
        <v>5</v>
      </c>
      <c r="B18" t="str">
        <f t="shared" si="0"/>
        <v>May</v>
      </c>
      <c r="C18">
        <v>47</v>
      </c>
      <c r="D18" t="str" cm="1">
        <f t="array" ref="D18">_xlfn.IFS($C18=45,"Motor Vehicles &amp; Motorcycles",$C18=46,"Wholesale Trade",$C18=47,"Retail Trade")</f>
        <v>Retail Trade</v>
      </c>
      <c r="E18" s="16">
        <v>67068</v>
      </c>
      <c r="G18" t="s">
        <v>10</v>
      </c>
      <c r="H18">
        <v>226130</v>
      </c>
      <c r="I18">
        <v>811512</v>
      </c>
      <c r="J18">
        <v>827367</v>
      </c>
      <c r="K18">
        <v>1865009</v>
      </c>
    </row>
    <row r="19" spans="1:5">
      <c r="A19">
        <v>6</v>
      </c>
      <c r="B19" t="str">
        <f t="shared" si="0"/>
        <v>Jun</v>
      </c>
      <c r="C19">
        <v>45</v>
      </c>
      <c r="D19" t="str" cm="1">
        <f t="array" ref="D19">_xlfn.IFS($C19=45,"Motor Vehicles &amp; Motorcycles",$C19=46,"Wholesale Trade",$C19=47,"Retail Trade")</f>
        <v>Motor Vehicles &amp; Motorcycles</v>
      </c>
      <c r="E19" s="16">
        <v>17133</v>
      </c>
    </row>
    <row r="20" spans="1:5">
      <c r="A20">
        <v>6</v>
      </c>
      <c r="B20" t="str">
        <f t="shared" si="0"/>
        <v>Jun</v>
      </c>
      <c r="C20">
        <v>46</v>
      </c>
      <c r="D20" t="str" cm="1">
        <f t="array" ref="D20">_xlfn.IFS($C20=45,"Motor Vehicles &amp; Motorcycles",$C20=46,"Wholesale Trade",$C20=47,"Retail Trade")</f>
        <v>Wholesale Trade</v>
      </c>
      <c r="E20" s="16">
        <v>68295</v>
      </c>
    </row>
    <row r="21" spans="1:5">
      <c r="A21">
        <v>6</v>
      </c>
      <c r="B21" t="str">
        <f t="shared" si="0"/>
        <v>Jun</v>
      </c>
      <c r="C21">
        <v>47</v>
      </c>
      <c r="D21" t="str" cm="1">
        <f t="array" ref="D21">_xlfn.IFS($C21=45,"Motor Vehicles &amp; Motorcycles",$C21=46,"Wholesale Trade",$C21=47,"Retail Trade")</f>
        <v>Retail Trade</v>
      </c>
      <c r="E21" s="16">
        <v>67542</v>
      </c>
    </row>
    <row r="22" spans="1:5">
      <c r="A22">
        <v>7</v>
      </c>
      <c r="B22" t="str">
        <f t="shared" si="0"/>
        <v>Jul</v>
      </c>
      <c r="C22">
        <v>45</v>
      </c>
      <c r="D22" t="str" cm="1">
        <f t="array" ref="D22">_xlfn.IFS($C22=45,"Motor Vehicles &amp; Motorcycles",$C22=46,"Wholesale Trade",$C22=47,"Retail Trade")</f>
        <v>Motor Vehicles &amp; Motorcycles</v>
      </c>
      <c r="E22" s="16">
        <v>19286</v>
      </c>
    </row>
    <row r="23" spans="1:5">
      <c r="A23">
        <v>7</v>
      </c>
      <c r="B23" t="str">
        <f t="shared" si="0"/>
        <v>Jul</v>
      </c>
      <c r="C23">
        <v>46</v>
      </c>
      <c r="D23" t="str" cm="1">
        <f t="array" ref="D23">_xlfn.IFS($C23=45,"Motor Vehicles &amp; Motorcycles",$C23=46,"Wholesale Trade",$C23=47,"Retail Trade")</f>
        <v>Wholesale Trade</v>
      </c>
      <c r="E23" s="16">
        <v>70130</v>
      </c>
    </row>
    <row r="24" spans="1:5">
      <c r="A24">
        <v>7</v>
      </c>
      <c r="B24" t="str">
        <f t="shared" si="0"/>
        <v>Jul</v>
      </c>
      <c r="C24">
        <v>47</v>
      </c>
      <c r="D24" t="str" cm="1">
        <f t="array" ref="D24">_xlfn.IFS($C24=45,"Motor Vehicles &amp; Motorcycles",$C24=46,"Wholesale Trade",$C24=47,"Retail Trade")</f>
        <v>Retail Trade</v>
      </c>
      <c r="E24" s="16">
        <v>67013</v>
      </c>
    </row>
    <row r="25" spans="1:5">
      <c r="A25">
        <v>8</v>
      </c>
      <c r="B25" t="str">
        <f t="shared" si="0"/>
        <v>Aug</v>
      </c>
      <c r="C25">
        <v>45</v>
      </c>
      <c r="D25" t="str" cm="1">
        <f t="array" ref="D25">_xlfn.IFS($C25=45,"Motor Vehicles &amp; Motorcycles",$C25=46,"Wholesale Trade",$C25=47,"Retail Trade")</f>
        <v>Motor Vehicles &amp; Motorcycles</v>
      </c>
      <c r="E25" s="16">
        <v>19618</v>
      </c>
    </row>
    <row r="26" spans="1:5">
      <c r="A26">
        <v>8</v>
      </c>
      <c r="B26" t="str">
        <f t="shared" si="0"/>
        <v>Aug</v>
      </c>
      <c r="C26">
        <v>46</v>
      </c>
      <c r="D26" t="str" cm="1">
        <f t="array" ref="D26">_xlfn.IFS($C26=45,"Motor Vehicles &amp; Motorcycles",$C26=46,"Wholesale Trade",$C26=47,"Retail Trade")</f>
        <v>Wholesale Trade</v>
      </c>
      <c r="E26" s="16">
        <v>69642</v>
      </c>
    </row>
    <row r="27" spans="1:5">
      <c r="A27">
        <v>8</v>
      </c>
      <c r="B27" t="str">
        <f t="shared" si="0"/>
        <v>Aug</v>
      </c>
      <c r="C27">
        <v>47</v>
      </c>
      <c r="D27" t="str" cm="1">
        <f t="array" ref="D27">_xlfn.IFS($C27=45,"Motor Vehicles &amp; Motorcycles",$C27=46,"Wholesale Trade",$C27=47,"Retail Trade")</f>
        <v>Retail Trade</v>
      </c>
      <c r="E27" s="16">
        <v>67327</v>
      </c>
    </row>
    <row r="28" spans="1:5">
      <c r="A28">
        <v>9</v>
      </c>
      <c r="B28" t="str">
        <f t="shared" si="0"/>
        <v>Sep</v>
      </c>
      <c r="C28">
        <v>45</v>
      </c>
      <c r="D28" t="str" cm="1">
        <f t="array" ref="D28">_xlfn.IFS($C28=45,"Motor Vehicles &amp; Motorcycles",$C28=46,"Wholesale Trade",$C28=47,"Retail Trade")</f>
        <v>Motor Vehicles &amp; Motorcycles</v>
      </c>
      <c r="E28" s="16">
        <v>18041</v>
      </c>
    </row>
    <row r="29" spans="1:5">
      <c r="A29">
        <v>9</v>
      </c>
      <c r="B29" t="str">
        <f t="shared" si="0"/>
        <v>Sep</v>
      </c>
      <c r="C29">
        <v>46</v>
      </c>
      <c r="D29" t="str" cm="1">
        <f t="array" ref="D29">_xlfn.IFS($C29=45,"Motor Vehicles &amp; Motorcycles",$C29=46,"Wholesale Trade",$C29=47,"Retail Trade")</f>
        <v>Wholesale Trade</v>
      </c>
      <c r="E29" s="16">
        <v>71054</v>
      </c>
    </row>
    <row r="30" spans="1:5">
      <c r="A30">
        <v>9</v>
      </c>
      <c r="B30" t="str">
        <f t="shared" si="0"/>
        <v>Sep</v>
      </c>
      <c r="C30">
        <v>47</v>
      </c>
      <c r="D30" t="str" cm="1">
        <f t="array" ref="D30">_xlfn.IFS($C30=45,"Motor Vehicles &amp; Motorcycles",$C30=46,"Wholesale Trade",$C30=47,"Retail Trade")</f>
        <v>Retail Trade</v>
      </c>
      <c r="E30" s="16">
        <v>68916</v>
      </c>
    </row>
    <row r="31" spans="1:5">
      <c r="A31">
        <v>10</v>
      </c>
      <c r="B31" t="str">
        <f t="shared" si="0"/>
        <v>Oct</v>
      </c>
      <c r="C31">
        <v>45</v>
      </c>
      <c r="D31" t="str" cm="1">
        <f t="array" ref="D31">_xlfn.IFS($C31=45,"Motor Vehicles &amp; Motorcycles",$C31=46,"Wholesale Trade",$C31=47,"Retail Trade")</f>
        <v>Motor Vehicles &amp; Motorcycles</v>
      </c>
      <c r="E31" s="16">
        <v>20412</v>
      </c>
    </row>
    <row r="32" spans="1:5">
      <c r="A32">
        <v>10</v>
      </c>
      <c r="B32" t="str">
        <f t="shared" si="0"/>
        <v>Oct</v>
      </c>
      <c r="C32">
        <v>46</v>
      </c>
      <c r="D32" t="str" cm="1">
        <f t="array" ref="D32">_xlfn.IFS($C32=45,"Motor Vehicles &amp; Motorcycles",$C32=46,"Wholesale Trade",$C32=47,"Retail Trade")</f>
        <v>Wholesale Trade</v>
      </c>
      <c r="E32" s="16">
        <v>71173</v>
      </c>
    </row>
    <row r="33" spans="1:5">
      <c r="A33">
        <v>10</v>
      </c>
      <c r="B33" t="str">
        <f t="shared" si="0"/>
        <v>Oct</v>
      </c>
      <c r="C33">
        <v>47</v>
      </c>
      <c r="D33" t="str" cm="1">
        <f t="array" ref="D33">_xlfn.IFS($C33=45,"Motor Vehicles &amp; Motorcycles",$C33=46,"Wholesale Trade",$C33=47,"Retail Trade")</f>
        <v>Retail Trade</v>
      </c>
      <c r="E33" s="16">
        <v>69325</v>
      </c>
    </row>
    <row r="34" spans="1:5">
      <c r="A34">
        <v>11</v>
      </c>
      <c r="B34" t="str">
        <f t="shared" si="0"/>
        <v>Nov</v>
      </c>
      <c r="C34">
        <v>45</v>
      </c>
      <c r="D34" t="str" cm="1">
        <f t="array" ref="D34">_xlfn.IFS($C34=45,"Motor Vehicles &amp; Motorcycles",$C34=46,"Wholesale Trade",$C34=47,"Retail Trade")</f>
        <v>Motor Vehicles &amp; Motorcycles</v>
      </c>
      <c r="E34" s="16">
        <v>19790</v>
      </c>
    </row>
    <row r="35" spans="1:5">
      <c r="A35">
        <v>11</v>
      </c>
      <c r="B35" t="str">
        <f t="shared" si="0"/>
        <v>Nov</v>
      </c>
      <c r="C35">
        <v>46</v>
      </c>
      <c r="D35" t="str" cm="1">
        <f t="array" ref="D35">_xlfn.IFS($C35=45,"Motor Vehicles &amp; Motorcycles",$C35=46,"Wholesale Trade",$C35=47,"Retail Trade")</f>
        <v>Wholesale Trade</v>
      </c>
      <c r="E35" s="16">
        <v>70144</v>
      </c>
    </row>
    <row r="36" spans="1:5">
      <c r="A36">
        <v>11</v>
      </c>
      <c r="B36" t="str">
        <f t="shared" si="0"/>
        <v>Nov</v>
      </c>
      <c r="C36">
        <v>47</v>
      </c>
      <c r="D36" t="str" cm="1">
        <f t="array" ref="D36">_xlfn.IFS($C36=45,"Motor Vehicles &amp; Motorcycles",$C36=46,"Wholesale Trade",$C36=47,"Retail Trade")</f>
        <v>Retail Trade</v>
      </c>
      <c r="E36" s="16">
        <v>69015</v>
      </c>
    </row>
    <row r="37" spans="1:5">
      <c r="A37">
        <v>12</v>
      </c>
      <c r="B37" t="str">
        <f t="shared" si="0"/>
        <v>Dec</v>
      </c>
      <c r="C37">
        <v>45</v>
      </c>
      <c r="D37" t="str" cm="1">
        <f t="array" ref="D37">_xlfn.IFS($C37=45,"Motor Vehicles &amp; Motorcycles",$C37=46,"Wholesale Trade",$C37=47,"Retail Trade")</f>
        <v>Motor Vehicles &amp; Motorcycles</v>
      </c>
      <c r="E37" s="16">
        <v>22277</v>
      </c>
    </row>
    <row r="38" spans="1:5">
      <c r="A38">
        <v>12</v>
      </c>
      <c r="B38" t="str">
        <f t="shared" si="0"/>
        <v>Dec</v>
      </c>
      <c r="C38">
        <v>46</v>
      </c>
      <c r="D38" t="str" cm="1">
        <f t="array" ref="D38">_xlfn.IFS($C38=45,"Motor Vehicles &amp; Motorcycles",$C38=46,"Wholesale Trade",$C38=47,"Retail Trade")</f>
        <v>Wholesale Trade</v>
      </c>
      <c r="E38" s="16">
        <v>71067</v>
      </c>
    </row>
    <row r="39" spans="1:5">
      <c r="A39">
        <v>12</v>
      </c>
      <c r="B39" t="str">
        <f t="shared" si="0"/>
        <v>Dec</v>
      </c>
      <c r="C39">
        <v>47</v>
      </c>
      <c r="D39" t="str" cm="1">
        <f t="array" ref="D39">_xlfn.IFS($C39=45,"Motor Vehicles &amp; Motorcycles",$C39=46,"Wholesale Trade",$C39=47,"Retail Trade")</f>
        <v>Retail Trade</v>
      </c>
      <c r="E39" s="16">
        <v>70375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workbookViewId="0">
      <selection activeCell="A1" sqref="A1"/>
    </sheetView>
  </sheetViews>
  <sheetFormatPr defaultColWidth="8.72727272727273" defaultRowHeight="14.5"/>
  <cols>
    <col min="1" max="1" width="5.54545454545455" style="51" customWidth="1"/>
    <col min="2" max="2" width="7.90909090909091" customWidth="1"/>
    <col min="3" max="3" width="28.4545454545455" customWidth="1"/>
    <col min="4" max="4" width="22.9090909090909" style="16" customWidth="1"/>
    <col min="6" max="6" width="2.36363636363636" customWidth="1"/>
    <col min="7" max="7" width="30.1818181818182" customWidth="1"/>
    <col min="8" max="8" width="28.4545454545455"/>
    <col min="9" max="9" width="11.8181818181818" customWidth="1"/>
    <col min="10" max="10" width="16.2727272727273" customWidth="1"/>
    <col min="11" max="11" width="11.5454545454545"/>
  </cols>
  <sheetData>
    <row r="1" spans="1:1">
      <c r="A1" s="52" t="s">
        <v>23</v>
      </c>
    </row>
    <row r="3" spans="1:4">
      <c r="A3" s="51" t="s">
        <v>24</v>
      </c>
      <c r="B3" t="s">
        <v>3</v>
      </c>
      <c r="C3" t="s">
        <v>4</v>
      </c>
      <c r="D3" s="16" t="s">
        <v>25</v>
      </c>
    </row>
    <row r="4" spans="1:8">
      <c r="A4" s="51">
        <v>2018</v>
      </c>
      <c r="B4">
        <v>45</v>
      </c>
      <c r="C4" t="str" cm="1">
        <f t="array" ref="C4">_xlfn.IFS($B4=45,"Motor Vehicles &amp; Motorcycles",$B4=46,"Wholesale Trade",$B4=47,"Retail Trade")</f>
        <v>Motor Vehicles &amp; Motorcycles</v>
      </c>
      <c r="D4" s="16">
        <v>146679</v>
      </c>
      <c r="G4" t="s">
        <v>26</v>
      </c>
      <c r="H4" t="s">
        <v>4</v>
      </c>
    </row>
    <row r="5" spans="1:11">
      <c r="A5" s="51">
        <v>2018</v>
      </c>
      <c r="B5">
        <v>46</v>
      </c>
      <c r="C5" t="str" cm="1">
        <f t="array" ref="C5">_xlfn.IFS($B5=45,"Motor Vehicles &amp; Motorcycles",$B5=46,"Wholesale Trade",$B5=47,"Retail Trade")</f>
        <v>Wholesale Trade</v>
      </c>
      <c r="D5" s="16">
        <v>605474</v>
      </c>
      <c r="G5" t="s">
        <v>24</v>
      </c>
      <c r="H5" t="s">
        <v>7</v>
      </c>
      <c r="I5" t="s">
        <v>8</v>
      </c>
      <c r="J5" t="s">
        <v>9</v>
      </c>
      <c r="K5" t="s">
        <v>10</v>
      </c>
    </row>
    <row r="6" spans="1:11">
      <c r="A6" s="51">
        <v>2018</v>
      </c>
      <c r="B6">
        <v>47</v>
      </c>
      <c r="C6" t="str" cm="1">
        <f t="array" ref="C6">_xlfn.IFS($B6=45,"Motor Vehicles &amp; Motorcycles",$B6=46,"Wholesale Trade",$B6=47,"Retail Trade")</f>
        <v>Retail Trade</v>
      </c>
      <c r="D6" s="16">
        <v>499995</v>
      </c>
      <c r="G6">
        <v>2018</v>
      </c>
      <c r="H6">
        <v>146679</v>
      </c>
      <c r="I6">
        <v>499995</v>
      </c>
      <c r="J6">
        <v>605474</v>
      </c>
      <c r="K6">
        <v>1252148</v>
      </c>
    </row>
    <row r="7" spans="1:11">
      <c r="A7" s="51">
        <v>2019</v>
      </c>
      <c r="B7">
        <v>45</v>
      </c>
      <c r="C7" t="str" cm="1">
        <f t="array" ref="C7">_xlfn.IFS($B7=45,"Motor Vehicles &amp; Motorcycles",$B7=46,"Wholesale Trade",$B7=47,"Retail Trade")</f>
        <v>Motor Vehicles &amp; Motorcycles</v>
      </c>
      <c r="D7" s="16">
        <v>150623</v>
      </c>
      <c r="G7">
        <v>2019</v>
      </c>
      <c r="H7">
        <v>150623</v>
      </c>
      <c r="I7">
        <v>537599</v>
      </c>
      <c r="J7">
        <v>638222</v>
      </c>
      <c r="K7">
        <v>1326444</v>
      </c>
    </row>
    <row r="8" spans="1:11">
      <c r="A8" s="51">
        <v>2019</v>
      </c>
      <c r="B8">
        <v>46</v>
      </c>
      <c r="C8" t="str" cm="1">
        <f t="array" ref="C8">_xlfn.IFS($B8=45,"Motor Vehicles &amp; Motorcycles",$B8=46,"Wholesale Trade",$B8=47,"Retail Trade")</f>
        <v>Wholesale Trade</v>
      </c>
      <c r="D8" s="16">
        <v>638222</v>
      </c>
      <c r="G8">
        <v>2020</v>
      </c>
      <c r="H8">
        <v>135094</v>
      </c>
      <c r="I8">
        <v>511008</v>
      </c>
      <c r="J8">
        <v>603311</v>
      </c>
      <c r="K8">
        <v>1249413</v>
      </c>
    </row>
    <row r="9" spans="1:11">
      <c r="A9" s="51">
        <v>2019</v>
      </c>
      <c r="B9">
        <v>47</v>
      </c>
      <c r="C9" t="str" cm="1">
        <f t="array" ref="C9">_xlfn.IFS($B9=45,"Motor Vehicles &amp; Motorcycles",$B9=46,"Wholesale Trade",$B9=47,"Retail Trade")</f>
        <v>Retail Trade</v>
      </c>
      <c r="D9" s="16">
        <v>537599</v>
      </c>
      <c r="G9">
        <v>2021</v>
      </c>
      <c r="H9">
        <v>124105</v>
      </c>
      <c r="I9">
        <v>533563</v>
      </c>
      <c r="J9">
        <v>641756</v>
      </c>
      <c r="K9">
        <v>1299424</v>
      </c>
    </row>
    <row r="10" spans="1:11">
      <c r="A10" s="51">
        <v>2020</v>
      </c>
      <c r="B10">
        <v>45</v>
      </c>
      <c r="C10" t="str" cm="1">
        <f t="array" ref="C10">_xlfn.IFS($B10=45,"Motor Vehicles &amp; Motorcycles",$B10=46,"Wholesale Trade",$B10=47,"Retail Trade")</f>
        <v>Motor Vehicles &amp; Motorcycles</v>
      </c>
      <c r="D10" s="16">
        <v>135094</v>
      </c>
      <c r="G10">
        <v>2022</v>
      </c>
      <c r="H10">
        <v>183173</v>
      </c>
      <c r="I10">
        <v>661052</v>
      </c>
      <c r="J10">
        <v>710293</v>
      </c>
      <c r="K10">
        <v>1554518</v>
      </c>
    </row>
    <row r="11" spans="1:11">
      <c r="A11" s="51">
        <v>2020</v>
      </c>
      <c r="B11">
        <v>46</v>
      </c>
      <c r="C11" t="str" cm="1">
        <f t="array" ref="C11">_xlfn.IFS($B11=45,"Motor Vehicles &amp; Motorcycles",$B11=46,"Wholesale Trade",$B11=47,"Retail Trade")</f>
        <v>Wholesale Trade</v>
      </c>
      <c r="D11" s="16">
        <v>603311</v>
      </c>
      <c r="G11">
        <v>2023</v>
      </c>
      <c r="H11">
        <v>205706</v>
      </c>
      <c r="I11">
        <v>720751</v>
      </c>
      <c r="J11">
        <v>747149</v>
      </c>
      <c r="K11">
        <v>1673606</v>
      </c>
    </row>
    <row r="12" spans="1:11">
      <c r="A12" s="51">
        <v>2020</v>
      </c>
      <c r="B12">
        <v>47</v>
      </c>
      <c r="C12" t="str" cm="1">
        <f t="array" ref="C12">_xlfn.IFS($B12=45,"Motor Vehicles &amp; Motorcycles",$B12=46,"Wholesale Trade",$B12=47,"Retail Trade")</f>
        <v>Retail Trade</v>
      </c>
      <c r="D12" s="16">
        <v>511008</v>
      </c>
      <c r="G12">
        <v>2024</v>
      </c>
      <c r="H12">
        <v>219058</v>
      </c>
      <c r="I12">
        <v>764901</v>
      </c>
      <c r="J12">
        <v>782080</v>
      </c>
      <c r="K12">
        <v>1766039</v>
      </c>
    </row>
    <row r="13" spans="1:11">
      <c r="A13" s="51">
        <v>2021</v>
      </c>
      <c r="B13">
        <v>45</v>
      </c>
      <c r="C13" t="str" cm="1">
        <f t="array" ref="C13">_xlfn.IFS($B13=45,"Motor Vehicles &amp; Motorcycles",$B13=46,"Wholesale Trade",$B13=47,"Retail Trade")</f>
        <v>Motor Vehicles &amp; Motorcycles</v>
      </c>
      <c r="D13" s="16">
        <v>124105</v>
      </c>
      <c r="G13">
        <v>2025</v>
      </c>
      <c r="H13">
        <v>226130</v>
      </c>
      <c r="I13">
        <v>811512</v>
      </c>
      <c r="J13">
        <v>827367</v>
      </c>
      <c r="K13">
        <v>1865009</v>
      </c>
    </row>
    <row r="14" spans="1:11">
      <c r="A14" s="51">
        <v>2021</v>
      </c>
      <c r="B14">
        <v>46</v>
      </c>
      <c r="C14" t="str" cm="1">
        <f t="array" ref="C14">_xlfn.IFS($B14=45,"Motor Vehicles &amp; Motorcycles",$B14=46,"Wholesale Trade",$B14=47,"Retail Trade")</f>
        <v>Wholesale Trade</v>
      </c>
      <c r="D14" s="16">
        <v>641756</v>
      </c>
      <c r="G14">
        <v>2026</v>
      </c>
      <c r="H14">
        <v>112803</v>
      </c>
      <c r="I14">
        <v>427124</v>
      </c>
      <c r="J14">
        <v>459779</v>
      </c>
      <c r="K14">
        <v>999706</v>
      </c>
    </row>
    <row r="15" spans="1:11">
      <c r="A15" s="51">
        <v>2021</v>
      </c>
      <c r="B15">
        <v>47</v>
      </c>
      <c r="C15" t="str" cm="1">
        <f t="array" ref="C15">_xlfn.IFS($B15=45,"Motor Vehicles &amp; Motorcycles",$B15=46,"Wholesale Trade",$B15=47,"Retail Trade")</f>
        <v>Retail Trade</v>
      </c>
      <c r="D15" s="16">
        <v>533563</v>
      </c>
      <c r="G15" t="s">
        <v>10</v>
      </c>
      <c r="H15">
        <v>1503371</v>
      </c>
      <c r="I15">
        <v>5467505</v>
      </c>
      <c r="J15">
        <v>6015431</v>
      </c>
      <c r="K15">
        <v>12986307</v>
      </c>
    </row>
    <row r="16" spans="1:4">
      <c r="A16" s="51">
        <v>2022</v>
      </c>
      <c r="B16">
        <v>45</v>
      </c>
      <c r="C16" t="str" cm="1">
        <f t="array" ref="C16">_xlfn.IFS($B16=45,"Motor Vehicles &amp; Motorcycles",$B16=46,"Wholesale Trade",$B16=47,"Retail Trade")</f>
        <v>Motor Vehicles &amp; Motorcycles</v>
      </c>
      <c r="D16" s="16">
        <v>183173</v>
      </c>
    </row>
    <row r="17" spans="1:4">
      <c r="A17" s="51">
        <v>2022</v>
      </c>
      <c r="B17">
        <v>46</v>
      </c>
      <c r="C17" t="str" cm="1">
        <f t="array" ref="C17">_xlfn.IFS($B17=45,"Motor Vehicles &amp; Motorcycles",$B17=46,"Wholesale Trade",$B17=47,"Retail Trade")</f>
        <v>Wholesale Trade</v>
      </c>
      <c r="D17" s="16">
        <v>710293</v>
      </c>
    </row>
    <row r="18" spans="1:4">
      <c r="A18" s="51">
        <v>2022</v>
      </c>
      <c r="B18">
        <v>47</v>
      </c>
      <c r="C18" t="str" cm="1">
        <f t="array" ref="C18">_xlfn.IFS($B18=45,"Motor Vehicles &amp; Motorcycles",$B18=46,"Wholesale Trade",$B18=47,"Retail Trade")</f>
        <v>Retail Trade</v>
      </c>
      <c r="D18" s="16">
        <v>661052</v>
      </c>
    </row>
    <row r="19" spans="1:4">
      <c r="A19" s="51">
        <v>2023</v>
      </c>
      <c r="B19">
        <v>45</v>
      </c>
      <c r="C19" t="str" cm="1">
        <f t="array" ref="C19">_xlfn.IFS($B19=45,"Motor Vehicles &amp; Motorcycles",$B19=46,"Wholesale Trade",$B19=47,"Retail Trade")</f>
        <v>Motor Vehicles &amp; Motorcycles</v>
      </c>
      <c r="D19" s="16">
        <v>205706</v>
      </c>
    </row>
    <row r="20" spans="1:4">
      <c r="A20" s="51">
        <v>2023</v>
      </c>
      <c r="B20">
        <v>46</v>
      </c>
      <c r="C20" t="str" cm="1">
        <f t="array" ref="C20">_xlfn.IFS($B20=45,"Motor Vehicles &amp; Motorcycles",$B20=46,"Wholesale Trade",$B20=47,"Retail Trade")</f>
        <v>Wholesale Trade</v>
      </c>
      <c r="D20" s="16">
        <v>747149</v>
      </c>
    </row>
    <row r="21" spans="1:4">
      <c r="A21" s="51">
        <v>2023</v>
      </c>
      <c r="B21">
        <v>47</v>
      </c>
      <c r="C21" t="str" cm="1">
        <f t="array" ref="C21">_xlfn.IFS($B21=45,"Motor Vehicles &amp; Motorcycles",$B21=46,"Wholesale Trade",$B21=47,"Retail Trade")</f>
        <v>Retail Trade</v>
      </c>
      <c r="D21" s="16">
        <v>720751</v>
      </c>
    </row>
    <row r="22" spans="1:4">
      <c r="A22" s="51">
        <v>2024</v>
      </c>
      <c r="B22">
        <v>45</v>
      </c>
      <c r="C22" t="str" cm="1">
        <f t="array" ref="C22">_xlfn.IFS($B22=45,"Motor Vehicles &amp; Motorcycles",$B22=46,"Wholesale Trade",$B22=47,"Retail Trade")</f>
        <v>Motor Vehicles &amp; Motorcycles</v>
      </c>
      <c r="D22" s="16">
        <v>219058</v>
      </c>
    </row>
    <row r="23" spans="1:4">
      <c r="A23" s="51">
        <v>2024</v>
      </c>
      <c r="B23">
        <v>46</v>
      </c>
      <c r="C23" t="str" cm="1">
        <f t="array" ref="C23">_xlfn.IFS($B23=45,"Motor Vehicles &amp; Motorcycles",$B23=46,"Wholesale Trade",$B23=47,"Retail Trade")</f>
        <v>Wholesale Trade</v>
      </c>
      <c r="D23" s="16">
        <v>782080</v>
      </c>
    </row>
    <row r="24" spans="1:4">
      <c r="A24" s="51">
        <v>2024</v>
      </c>
      <c r="B24">
        <v>47</v>
      </c>
      <c r="C24" t="str" cm="1">
        <f t="array" ref="C24">_xlfn.IFS($B24=45,"Motor Vehicles &amp; Motorcycles",$B24=46,"Wholesale Trade",$B24=47,"Retail Trade")</f>
        <v>Retail Trade</v>
      </c>
      <c r="D24" s="16">
        <v>764901</v>
      </c>
    </row>
    <row r="25" spans="1:4">
      <c r="A25" s="51">
        <v>2025</v>
      </c>
      <c r="B25">
        <v>45</v>
      </c>
      <c r="C25" t="str" cm="1">
        <f t="array" ref="C25">_xlfn.IFS($B25=45,"Motor Vehicles &amp; Motorcycles",$B25=46,"Wholesale Trade",$B25=47,"Retail Trade")</f>
        <v>Motor Vehicles &amp; Motorcycles</v>
      </c>
      <c r="D25" s="16">
        <v>226130</v>
      </c>
    </row>
    <row r="26" spans="1:4">
      <c r="A26" s="51">
        <v>2025</v>
      </c>
      <c r="B26">
        <v>46</v>
      </c>
      <c r="C26" t="str" cm="1">
        <f t="array" ref="C26">_xlfn.IFS($B26=45,"Motor Vehicles &amp; Motorcycles",$B26=46,"Wholesale Trade",$B26=47,"Retail Trade")</f>
        <v>Wholesale Trade</v>
      </c>
      <c r="D26" s="16">
        <v>827367</v>
      </c>
    </row>
    <row r="27" spans="1:4">
      <c r="A27" s="51">
        <v>2025</v>
      </c>
      <c r="B27">
        <v>47</v>
      </c>
      <c r="C27" t="str" cm="1">
        <f t="array" ref="C27">_xlfn.IFS($B27=45,"Motor Vehicles &amp; Motorcycles",$B27=46,"Wholesale Trade",$B27=47,"Retail Trade")</f>
        <v>Retail Trade</v>
      </c>
      <c r="D27" s="16">
        <v>811512</v>
      </c>
    </row>
    <row r="28" spans="1:4">
      <c r="A28" s="51">
        <v>2026</v>
      </c>
      <c r="B28">
        <v>45</v>
      </c>
      <c r="C28" t="str" cm="1">
        <f t="array" ref="C28">_xlfn.IFS($B28=45,"Motor Vehicles &amp; Motorcycles",$B28=46,"Wholesale Trade",$B28=47,"Retail Trade")</f>
        <v>Motor Vehicles &amp; Motorcycles</v>
      </c>
      <c r="D28" s="16">
        <v>112803</v>
      </c>
    </row>
    <row r="29" spans="1:4">
      <c r="A29" s="51">
        <v>2026</v>
      </c>
      <c r="B29">
        <v>46</v>
      </c>
      <c r="C29" t="str" cm="1">
        <f t="array" ref="C29">_xlfn.IFS($B29=45,"Motor Vehicles &amp; Motorcycles",$B29=46,"Wholesale Trade",$B29=47,"Retail Trade")</f>
        <v>Wholesale Trade</v>
      </c>
      <c r="D29" s="16">
        <v>459779</v>
      </c>
    </row>
    <row r="30" spans="1:4">
      <c r="A30" s="51">
        <v>2026</v>
      </c>
      <c r="B30">
        <v>47</v>
      </c>
      <c r="C30" t="str" cm="1">
        <f t="array" ref="C30">_xlfn.IFS($B30=45,"Motor Vehicles &amp; Motorcycles",$B30=46,"Wholesale Trade",$B30=47,"Retail Trade")</f>
        <v>Retail Trade</v>
      </c>
      <c r="D30" s="16">
        <v>427124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workbookViewId="0">
      <selection activeCell="C10" sqref="C10"/>
    </sheetView>
  </sheetViews>
  <sheetFormatPr defaultColWidth="8.72727272727273" defaultRowHeight="14.5" outlineLevelCol="5"/>
  <cols>
    <col min="1" max="1" width="28.4545454545455" customWidth="1"/>
    <col min="2" max="2" width="32.6363636363636" customWidth="1"/>
    <col min="3" max="3" width="22.9090909090909" style="46" customWidth="1"/>
    <col min="4" max="4" width="21.8181818181818" style="46" customWidth="1"/>
    <col min="5" max="5" width="22.1818181818182" style="46" customWidth="1"/>
    <col min="6" max="6" width="22.6363636363636" style="46" customWidth="1"/>
    <col min="7" max="7" width="3.63636363636364" customWidth="1"/>
    <col min="8" max="8" width="27.2727272727273" customWidth="1"/>
    <col min="9" max="9" width="28.4545454545455"/>
    <col min="10" max="10" width="27.9090909090909" customWidth="1"/>
    <col min="11" max="12" width="26.7272727272727" customWidth="1"/>
    <col min="13" max="13" width="26.8181818181818" customWidth="1"/>
  </cols>
  <sheetData>
    <row r="1" spans="1:1">
      <c r="A1" s="38" t="s">
        <v>27</v>
      </c>
    </row>
    <row r="3" spans="1:6">
      <c r="A3" s="41" t="s">
        <v>28</v>
      </c>
      <c r="B3" s="41"/>
      <c r="C3" s="41"/>
      <c r="D3" s="41"/>
      <c r="E3" s="41"/>
      <c r="F3" s="41"/>
    </row>
    <row r="4" spans="1:6">
      <c r="A4" s="42" t="s">
        <v>3</v>
      </c>
      <c r="B4" s="42" t="s">
        <v>4</v>
      </c>
      <c r="C4" s="47" t="s">
        <v>25</v>
      </c>
      <c r="D4" s="47" t="s">
        <v>29</v>
      </c>
      <c r="E4" s="47" t="s">
        <v>30</v>
      </c>
      <c r="F4" s="47" t="s">
        <v>31</v>
      </c>
    </row>
    <row r="5" spans="1:6">
      <c r="A5" s="42">
        <v>46</v>
      </c>
      <c r="B5" s="42" t="str" cm="1">
        <f t="array" ref="B5">_xlfn.IFS($A5=45,"Motor Vehicles &amp; Motorcycles",$A5=46,"Wholesale Trade",$A5=47,"Retail Trade")</f>
        <v>Wholesale Trade</v>
      </c>
      <c r="C5" s="48">
        <v>6015431</v>
      </c>
      <c r="D5" s="48">
        <v>58974.8137</v>
      </c>
      <c r="E5" s="48">
        <v>37694</v>
      </c>
      <c r="F5" s="48">
        <v>83534</v>
      </c>
    </row>
    <row r="6" spans="1:6">
      <c r="A6" s="42">
        <v>47</v>
      </c>
      <c r="B6" s="42" t="str" cm="1">
        <f t="array" ref="B6">_xlfn.IFS($A6=45,"Motor Vehicles &amp; Motorcycles",$A6=46,"Wholesale Trade",$A6=47,"Retail Trade")</f>
        <v>Retail Trade</v>
      </c>
      <c r="C6" s="48">
        <v>5467505</v>
      </c>
      <c r="D6" s="48">
        <v>53602.9902</v>
      </c>
      <c r="E6" s="48">
        <v>28320</v>
      </c>
      <c r="F6" s="48">
        <v>72016</v>
      </c>
    </row>
    <row r="7" spans="1:6">
      <c r="A7" s="42">
        <v>45</v>
      </c>
      <c r="B7" s="42" t="str" cm="1">
        <f t="array" ref="B7">_xlfn.IFS($A7=45,"Motor Vehicles &amp; Motorcycles",$A7=46,"Wholesale Trade",$A7=47,"Retail Trade")</f>
        <v>Motor Vehicles &amp; Motorcycles</v>
      </c>
      <c r="C7" s="48">
        <v>1503371</v>
      </c>
      <c r="D7" s="48">
        <v>14738.9314</v>
      </c>
      <c r="E7" s="48">
        <v>838</v>
      </c>
      <c r="F7" s="48">
        <v>22277</v>
      </c>
    </row>
    <row r="8" spans="3:6">
      <c r="C8" s="16"/>
      <c r="D8" s="16"/>
      <c r="E8" s="16"/>
      <c r="F8" s="16"/>
    </row>
    <row r="9" spans="3:6">
      <c r="C9"/>
      <c r="D9"/>
      <c r="E9"/>
      <c r="F9" s="16"/>
    </row>
    <row r="10" spans="3:5">
      <c r="C10"/>
      <c r="D10"/>
      <c r="E10"/>
    </row>
    <row r="11" spans="1:4">
      <c r="A11" s="41" t="s">
        <v>32</v>
      </c>
      <c r="B11" s="41"/>
      <c r="C11" s="41"/>
      <c r="D11" s="41"/>
    </row>
    <row r="12" spans="1:4">
      <c r="A12" s="42" t="s">
        <v>3</v>
      </c>
      <c r="B12" s="42" t="s">
        <v>4</v>
      </c>
      <c r="C12" s="47" t="s">
        <v>25</v>
      </c>
      <c r="D12" s="42" t="s">
        <v>33</v>
      </c>
    </row>
    <row r="13" spans="1:4">
      <c r="A13" s="42">
        <v>46</v>
      </c>
      <c r="B13" s="42" t="str" cm="1">
        <f t="array" ref="B13">_xlfn.IFS($A13=45,"Motor Vehicles &amp; Motorcycles",$A13=46,"Wholesale Trade",$A13=47,"Retail Trade")</f>
        <v>Wholesale Trade</v>
      </c>
      <c r="C13" s="48">
        <v>827367</v>
      </c>
      <c r="D13" s="49">
        <v>0.4436</v>
      </c>
    </row>
    <row r="14" spans="1:4">
      <c r="A14" s="42">
        <v>47</v>
      </c>
      <c r="B14" s="42" t="str" cm="1">
        <f t="array" ref="B14">_xlfn.IFS($A14=45,"Motor Vehicles &amp; Motorcycles",$A14=46,"Wholesale Trade",$A14=47,"Retail Trade")</f>
        <v>Retail Trade</v>
      </c>
      <c r="C14" s="48">
        <v>811512</v>
      </c>
      <c r="D14" s="49">
        <v>0.4351</v>
      </c>
    </row>
    <row r="15" spans="1:4">
      <c r="A15" s="42">
        <v>45</v>
      </c>
      <c r="B15" s="42" t="str" cm="1">
        <f t="array" ref="B15">_xlfn.IFS($A15=45,"Motor Vehicles &amp; Motorcycles",$A15=46,"Wholesale Trade",$A15=47,"Retail Trade")</f>
        <v>Motor Vehicles &amp; Motorcycles</v>
      </c>
      <c r="C15" s="48">
        <v>226130</v>
      </c>
      <c r="D15" s="49">
        <v>0.1212</v>
      </c>
    </row>
    <row r="16" spans="6:6">
      <c r="F16"/>
    </row>
    <row r="17" spans="3:6">
      <c r="C17"/>
      <c r="F17"/>
    </row>
    <row r="18" spans="1:6">
      <c r="A18" t="s">
        <v>4</v>
      </c>
      <c r="B18" t="s">
        <v>34</v>
      </c>
      <c r="F18"/>
    </row>
    <row r="19" spans="1:2">
      <c r="A19" t="s">
        <v>7</v>
      </c>
      <c r="B19" s="50">
        <v>0.1212</v>
      </c>
    </row>
    <row r="20" spans="1:2">
      <c r="A20" t="s">
        <v>8</v>
      </c>
      <c r="B20" s="50">
        <v>0.4351</v>
      </c>
    </row>
    <row r="21" spans="1:2">
      <c r="A21" t="s">
        <v>9</v>
      </c>
      <c r="B21" s="50">
        <v>0.4436</v>
      </c>
    </row>
    <row r="22" spans="1:2">
      <c r="A22" t="s">
        <v>10</v>
      </c>
      <c r="B22" s="50">
        <v>0.3333</v>
      </c>
    </row>
    <row r="23" spans="3:3">
      <c r="C23"/>
    </row>
    <row r="24" spans="3:6">
      <c r="C24"/>
      <c r="F24"/>
    </row>
    <row r="25" spans="1:6">
      <c r="A25" t="s">
        <v>4</v>
      </c>
      <c r="B25" t="s">
        <v>26</v>
      </c>
      <c r="C25"/>
      <c r="F25"/>
    </row>
    <row r="26" spans="1:6">
      <c r="A26" t="s">
        <v>7</v>
      </c>
      <c r="B26">
        <v>226130</v>
      </c>
      <c r="C26"/>
      <c r="F26"/>
    </row>
    <row r="27" spans="1:6">
      <c r="A27" t="s">
        <v>8</v>
      </c>
      <c r="B27">
        <v>811512</v>
      </c>
      <c r="C27"/>
      <c r="F27"/>
    </row>
    <row r="28" spans="1:6">
      <c r="A28" t="s">
        <v>9</v>
      </c>
      <c r="B28">
        <v>827367</v>
      </c>
      <c r="C28"/>
      <c r="F28"/>
    </row>
    <row r="29" spans="1:3">
      <c r="A29" t="s">
        <v>10</v>
      </c>
      <c r="B29">
        <v>1865009</v>
      </c>
      <c r="C29"/>
    </row>
    <row r="30" spans="3:3">
      <c r="C30"/>
    </row>
    <row r="31" spans="3:3">
      <c r="C31"/>
    </row>
    <row r="32" spans="3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</sheetData>
  <mergeCells count="2">
    <mergeCell ref="A3:F3"/>
    <mergeCell ref="A11:D1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C4" sqref="C4:D7"/>
    </sheetView>
  </sheetViews>
  <sheetFormatPr defaultColWidth="8.72727272727273" defaultRowHeight="14.5" outlineLevelCol="3"/>
  <cols>
    <col min="1" max="1" width="10.2727272727273" customWidth="1"/>
    <col min="2" max="2" width="7.90909090909091" customWidth="1"/>
    <col min="3" max="3" width="28.4545454545455" customWidth="1"/>
    <col min="4" max="4" width="25.1818181818182" customWidth="1"/>
    <col min="5" max="5" width="23.5454545454545" customWidth="1"/>
  </cols>
  <sheetData>
    <row r="1" spans="1:1">
      <c r="A1" s="38" t="s">
        <v>35</v>
      </c>
    </row>
    <row r="3" spans="1:4">
      <c r="A3" s="41" t="s">
        <v>36</v>
      </c>
      <c r="B3" s="41"/>
      <c r="C3" s="41"/>
      <c r="D3" s="41"/>
    </row>
    <row r="4" spans="1:4">
      <c r="A4" s="42" t="s">
        <v>37</v>
      </c>
      <c r="B4" s="42" t="s">
        <v>3</v>
      </c>
      <c r="C4" s="42" t="s">
        <v>4</v>
      </c>
      <c r="D4" s="42" t="s">
        <v>38</v>
      </c>
    </row>
    <row r="5" spans="1:4">
      <c r="A5" s="43">
        <v>46174</v>
      </c>
      <c r="B5" s="42">
        <v>45</v>
      </c>
      <c r="C5" s="42" t="str" cm="1">
        <f t="array" ref="C5">_xlfn.IFS($B5=45,"Motor Vehicles &amp; Motorcycles",$B5=46,"Wholesale Trade",$B5=47,"Retail Trade")</f>
        <v>Motor Vehicles &amp; Motorcycles</v>
      </c>
      <c r="D5" s="44">
        <v>0.06</v>
      </c>
    </row>
    <row r="6" spans="1:4">
      <c r="A6" s="43">
        <v>46174</v>
      </c>
      <c r="B6" s="42">
        <v>47</v>
      </c>
      <c r="C6" s="42" t="str" cm="1">
        <f t="array" ref="C6">_xlfn.IFS($B6=45,"Motor Vehicles &amp; Motorcycles",$B6=46,"Wholesale Trade",$B6=47,"Retail Trade")</f>
        <v>Retail Trade</v>
      </c>
      <c r="D6" s="44">
        <v>0</v>
      </c>
    </row>
    <row r="7" spans="1:4">
      <c r="A7" s="43">
        <v>46174</v>
      </c>
      <c r="B7" s="42">
        <v>46</v>
      </c>
      <c r="C7" s="42" t="str" cm="1">
        <f t="array" ref="C7">_xlfn.IFS($B7=45,"Motor Vehicles &amp; Motorcycles",$B7=46,"Wholesale Trade",$B7=47,"Retail Trade")</f>
        <v>Wholesale Trade</v>
      </c>
      <c r="D7" s="44">
        <v>-0.05</v>
      </c>
    </row>
    <row r="8" spans="1:4">
      <c r="A8" s="39"/>
      <c r="D8" s="45"/>
    </row>
    <row r="10" spans="1:4">
      <c r="A10" s="41" t="s">
        <v>39</v>
      </c>
      <c r="B10" s="41"/>
      <c r="C10" s="41"/>
      <c r="D10" s="41"/>
    </row>
    <row r="11" spans="1:4">
      <c r="A11" s="42" t="s">
        <v>37</v>
      </c>
      <c r="B11" s="42" t="s">
        <v>3</v>
      </c>
      <c r="C11" s="42" t="s">
        <v>4</v>
      </c>
      <c r="D11" s="42" t="s">
        <v>40</v>
      </c>
    </row>
    <row r="12" spans="1:4">
      <c r="A12" s="43">
        <v>46174</v>
      </c>
      <c r="B12" s="42">
        <v>45</v>
      </c>
      <c r="C12" s="42" t="str" cm="1">
        <f t="array" ref="C12">_xlfn.IFS($B12=45,"Motor Vehicles &amp; Motorcycles",$B12=46,"Wholesale Trade",$B12=47,"Retail Trade")</f>
        <v>Motor Vehicles &amp; Motorcycles</v>
      </c>
      <c r="D12" s="44">
        <v>0.15</v>
      </c>
    </row>
    <row r="13" spans="1:4">
      <c r="A13" s="43">
        <v>46174</v>
      </c>
      <c r="B13" s="42">
        <v>46</v>
      </c>
      <c r="C13" s="42" t="str" cm="1">
        <f t="array" ref="C13">_xlfn.IFS($B13=45,"Motor Vehicles &amp; Motorcycles",$B13=46,"Wholesale Trade",$B13=47,"Retail Trade")</f>
        <v>Wholesale Trade</v>
      </c>
      <c r="D13" s="44">
        <v>0.12</v>
      </c>
    </row>
    <row r="14" spans="1:4">
      <c r="A14" s="43">
        <v>46174</v>
      </c>
      <c r="B14" s="42">
        <v>47</v>
      </c>
      <c r="C14" s="42" t="str" cm="1">
        <f t="array" ref="C14">_xlfn.IFS($B14=45,"Motor Vehicles &amp; Motorcycles",$B14=46,"Wholesale Trade",$B14=47,"Retail Trade")</f>
        <v>Retail Trade</v>
      </c>
      <c r="D14" s="44">
        <v>0.07</v>
      </c>
    </row>
  </sheetData>
  <mergeCells count="2">
    <mergeCell ref="A3:D3"/>
    <mergeCell ref="A10:D10"/>
  </mergeCells>
  <pageMargins left="0.75" right="0.75" top="1" bottom="1" header="0.5" footer="0.5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9"/>
  <sheetViews>
    <sheetView workbookViewId="0">
      <selection activeCell="J16" sqref="J16"/>
    </sheetView>
  </sheetViews>
  <sheetFormatPr defaultColWidth="8.72727272727273" defaultRowHeight="14.5"/>
  <cols>
    <col min="1" max="1" width="11.3636363636364" customWidth="1"/>
    <col min="2" max="2" width="7.81818181818182" customWidth="1"/>
    <col min="3" max="3" width="7.90909090909091" customWidth="1"/>
    <col min="4" max="4" width="28.4545454545455" customWidth="1"/>
    <col min="5" max="5" width="17.5454545454545" style="16" customWidth="1"/>
    <col min="6" max="6" width="24.1818181818182" customWidth="1"/>
    <col min="7" max="7" width="27.3636363636364" customWidth="1"/>
    <col min="9" max="9" width="20.8181818181818" customWidth="1"/>
    <col min="10" max="10" width="17.8181818181818" customWidth="1"/>
    <col min="11" max="11" width="12.8181818181818" customWidth="1"/>
    <col min="12" max="12" width="16.2727272727273" customWidth="1"/>
    <col min="13" max="13" width="12.8181818181818" customWidth="1"/>
    <col min="14" max="15" width="37.8181818181818"/>
    <col min="16" max="16" width="43.0909090909091"/>
    <col min="17" max="17" width="33.2727272727273"/>
    <col min="18" max="18" width="43.0909090909091"/>
    <col min="19" max="19" width="33.2727272727273"/>
  </cols>
  <sheetData>
    <row r="1" spans="1:2">
      <c r="A1" s="38" t="s">
        <v>41</v>
      </c>
      <c r="B1" s="38"/>
    </row>
    <row r="3" spans="1:10">
      <c r="A3" t="s">
        <v>42</v>
      </c>
      <c r="B3" t="s">
        <v>37</v>
      </c>
      <c r="C3" t="s">
        <v>3</v>
      </c>
      <c r="D3" t="s">
        <v>4</v>
      </c>
      <c r="E3" s="16" t="s">
        <v>43</v>
      </c>
      <c r="F3" t="s">
        <v>44</v>
      </c>
      <c r="G3" t="s">
        <v>45</v>
      </c>
      <c r="I3" t="s">
        <v>46</v>
      </c>
      <c r="J3" t="s">
        <v>4</v>
      </c>
    </row>
    <row r="4" spans="1:13">
      <c r="A4" s="39">
        <v>43101</v>
      </c>
      <c r="B4" s="40">
        <f>$A4</f>
        <v>43101</v>
      </c>
      <c r="C4">
        <v>45</v>
      </c>
      <c r="D4" t="str" cm="1">
        <f t="array" ref="D4">_xlfn.IFS($C4=45,"Motor Vehicles &amp; Motorcycles",$C4=46,"Wholesale Trade",$C4=47,"Retail Trade")</f>
        <v>Motor Vehicles &amp; Motorcycles</v>
      </c>
      <c r="E4" s="16">
        <v>11655</v>
      </c>
      <c r="F4">
        <v>98</v>
      </c>
      <c r="G4">
        <v>99</v>
      </c>
      <c r="I4" t="s">
        <v>37</v>
      </c>
      <c r="J4" t="s">
        <v>7</v>
      </c>
      <c r="K4" t="s">
        <v>8</v>
      </c>
      <c r="L4" t="s">
        <v>9</v>
      </c>
      <c r="M4" t="s">
        <v>10</v>
      </c>
    </row>
    <row r="5" spans="1:13">
      <c r="A5" s="39">
        <v>43101</v>
      </c>
      <c r="B5" s="40">
        <f t="shared" ref="B5:B68" si="0">$A5</f>
        <v>43101</v>
      </c>
      <c r="C5">
        <v>46</v>
      </c>
      <c r="D5" t="str" cm="1">
        <f t="array" ref="D5">_xlfn.IFS($C5=45,"Motor Vehicles &amp; Motorcycles",$C5=46,"Wholesale Trade",$C5=47,"Retail Trade")</f>
        <v>Wholesale Trade</v>
      </c>
      <c r="E5" s="16">
        <v>49750</v>
      </c>
      <c r="F5">
        <v>119</v>
      </c>
      <c r="G5">
        <v>119</v>
      </c>
      <c r="I5" s="40">
        <v>43101</v>
      </c>
      <c r="J5">
        <v>99</v>
      </c>
      <c r="K5">
        <v>121</v>
      </c>
      <c r="L5">
        <v>119</v>
      </c>
      <c r="M5">
        <v>113</v>
      </c>
    </row>
    <row r="6" spans="1:13">
      <c r="A6" s="39">
        <v>43101</v>
      </c>
      <c r="B6" s="40">
        <f t="shared" si="0"/>
        <v>43101</v>
      </c>
      <c r="C6">
        <v>47</v>
      </c>
      <c r="D6" t="str" cm="1">
        <f t="array" ref="D6">_xlfn.IFS($C6=45,"Motor Vehicles &amp; Motorcycles",$C6=46,"Wholesale Trade",$C6=47,"Retail Trade")</f>
        <v>Retail Trade</v>
      </c>
      <c r="E6" s="16">
        <v>39655</v>
      </c>
      <c r="F6">
        <v>124</v>
      </c>
      <c r="G6">
        <v>121</v>
      </c>
      <c r="I6" s="40">
        <v>43132</v>
      </c>
      <c r="J6">
        <v>100</v>
      </c>
      <c r="K6">
        <v>122</v>
      </c>
      <c r="L6">
        <v>120</v>
      </c>
      <c r="M6">
        <v>114</v>
      </c>
    </row>
    <row r="7" spans="1:13">
      <c r="A7" s="39">
        <v>43132</v>
      </c>
      <c r="B7" s="40">
        <f t="shared" si="0"/>
        <v>43132</v>
      </c>
      <c r="C7">
        <v>45</v>
      </c>
      <c r="D7" t="str" cm="1">
        <f t="array" ref="D7">_xlfn.IFS($C7=45,"Motor Vehicles &amp; Motorcycles",$C7=46,"Wholesale Trade",$C7=47,"Retail Trade")</f>
        <v>Motor Vehicles &amp; Motorcycles</v>
      </c>
      <c r="E7" s="16">
        <v>10544</v>
      </c>
      <c r="F7">
        <v>92</v>
      </c>
      <c r="G7">
        <v>100</v>
      </c>
      <c r="I7" s="40">
        <v>43160</v>
      </c>
      <c r="J7">
        <v>95</v>
      </c>
      <c r="K7">
        <v>123</v>
      </c>
      <c r="L7">
        <v>120</v>
      </c>
      <c r="M7">
        <v>112.666666666667</v>
      </c>
    </row>
    <row r="8" spans="1:13">
      <c r="A8" s="39">
        <v>43132</v>
      </c>
      <c r="B8" s="40">
        <f t="shared" si="0"/>
        <v>43132</v>
      </c>
      <c r="C8">
        <v>46</v>
      </c>
      <c r="D8" t="str" cm="1">
        <f t="array" ref="D8">_xlfn.IFS($C8=45,"Motor Vehicles &amp; Motorcycles",$C8=46,"Wholesale Trade",$C8=47,"Retail Trade")</f>
        <v>Wholesale Trade</v>
      </c>
      <c r="E8" s="16">
        <v>47386</v>
      </c>
      <c r="F8">
        <v>114</v>
      </c>
      <c r="G8">
        <v>120</v>
      </c>
      <c r="I8" s="40">
        <v>43191</v>
      </c>
      <c r="J8">
        <v>102</v>
      </c>
      <c r="K8">
        <v>124</v>
      </c>
      <c r="L8">
        <v>121</v>
      </c>
      <c r="M8">
        <v>115.666666666667</v>
      </c>
    </row>
    <row r="9" spans="1:13">
      <c r="A9" s="39">
        <v>43132</v>
      </c>
      <c r="B9" s="40">
        <f t="shared" si="0"/>
        <v>43132</v>
      </c>
      <c r="C9">
        <v>47</v>
      </c>
      <c r="D9" t="str" cm="1">
        <f t="array" ref="D9">_xlfn.IFS($C9=45,"Motor Vehicles &amp; Motorcycles",$C9=46,"Wholesale Trade",$C9=47,"Retail Trade")</f>
        <v>Retail Trade</v>
      </c>
      <c r="E9" s="16">
        <v>39223</v>
      </c>
      <c r="F9">
        <v>122</v>
      </c>
      <c r="G9">
        <v>122</v>
      </c>
      <c r="I9" s="40">
        <v>43221</v>
      </c>
      <c r="J9">
        <v>100</v>
      </c>
      <c r="K9">
        <v>126</v>
      </c>
      <c r="L9">
        <v>122</v>
      </c>
      <c r="M9">
        <v>116</v>
      </c>
    </row>
    <row r="10" spans="1:13">
      <c r="A10" s="39">
        <v>43160</v>
      </c>
      <c r="B10" s="40">
        <f t="shared" si="0"/>
        <v>43160</v>
      </c>
      <c r="C10">
        <v>45</v>
      </c>
      <c r="D10" t="str" cm="1">
        <f t="array" ref="D10">_xlfn.IFS($C10=45,"Motor Vehicles &amp; Motorcycles",$C10=46,"Wholesale Trade",$C10=47,"Retail Trade")</f>
        <v>Motor Vehicles &amp; Motorcycles</v>
      </c>
      <c r="E10" s="16">
        <v>12278</v>
      </c>
      <c r="F10">
        <v>100</v>
      </c>
      <c r="G10">
        <v>95</v>
      </c>
      <c r="I10" s="40">
        <v>43252</v>
      </c>
      <c r="J10">
        <v>105</v>
      </c>
      <c r="K10">
        <v>131</v>
      </c>
      <c r="L10">
        <v>122</v>
      </c>
      <c r="M10">
        <v>119.333333333333</v>
      </c>
    </row>
    <row r="11" spans="1:13">
      <c r="A11" s="39">
        <v>43160</v>
      </c>
      <c r="B11" s="40">
        <f t="shared" si="0"/>
        <v>43160</v>
      </c>
      <c r="C11">
        <v>46</v>
      </c>
      <c r="D11" t="str" cm="1">
        <f t="array" ref="D11">_xlfn.IFS($C11=45,"Motor Vehicles &amp; Motorcycles",$C11=46,"Wholesale Trade",$C11=47,"Retail Trade")</f>
        <v>Wholesale Trade</v>
      </c>
      <c r="E11" s="16">
        <v>50675</v>
      </c>
      <c r="F11">
        <v>123</v>
      </c>
      <c r="G11">
        <v>120</v>
      </c>
      <c r="I11" s="40">
        <v>43282</v>
      </c>
      <c r="J11">
        <v>109</v>
      </c>
      <c r="K11">
        <v>134</v>
      </c>
      <c r="L11">
        <v>123</v>
      </c>
      <c r="M11">
        <v>122</v>
      </c>
    </row>
    <row r="12" spans="1:13">
      <c r="A12" s="39">
        <v>43160</v>
      </c>
      <c r="B12" s="40">
        <f t="shared" si="0"/>
        <v>43160</v>
      </c>
      <c r="C12">
        <v>47</v>
      </c>
      <c r="D12" t="str" cm="1">
        <f t="array" ref="D12">_xlfn.IFS($C12=45,"Motor Vehicles &amp; Motorcycles",$C12=46,"Wholesale Trade",$C12=47,"Retail Trade")</f>
        <v>Retail Trade</v>
      </c>
      <c r="E12" s="16">
        <v>40825</v>
      </c>
      <c r="F12">
        <v>128</v>
      </c>
      <c r="G12">
        <v>123</v>
      </c>
      <c r="I12" s="40">
        <v>43313</v>
      </c>
      <c r="J12">
        <v>107</v>
      </c>
      <c r="K12">
        <v>136</v>
      </c>
      <c r="L12">
        <v>125</v>
      </c>
      <c r="M12">
        <v>122.666666666667</v>
      </c>
    </row>
    <row r="13" spans="1:13">
      <c r="A13" s="39">
        <v>43191</v>
      </c>
      <c r="B13" s="40">
        <f t="shared" si="0"/>
        <v>43191</v>
      </c>
      <c r="C13">
        <v>45</v>
      </c>
      <c r="D13" t="str" cm="1">
        <f t="array" ref="D13">_xlfn.IFS($C13=45,"Motor Vehicles &amp; Motorcycles",$C13=46,"Wholesale Trade",$C13=47,"Retail Trade")</f>
        <v>Motor Vehicles &amp; Motorcycles</v>
      </c>
      <c r="E13" s="16">
        <v>12066</v>
      </c>
      <c r="F13">
        <v>96</v>
      </c>
      <c r="G13">
        <v>102</v>
      </c>
      <c r="I13" s="40">
        <v>43344</v>
      </c>
      <c r="J13">
        <v>94</v>
      </c>
      <c r="K13">
        <v>129</v>
      </c>
      <c r="L13">
        <v>126</v>
      </c>
      <c r="M13">
        <v>116.333333333333</v>
      </c>
    </row>
    <row r="14" spans="1:13">
      <c r="A14" s="39">
        <v>43191</v>
      </c>
      <c r="B14" s="40">
        <f t="shared" si="0"/>
        <v>43191</v>
      </c>
      <c r="C14">
        <v>46</v>
      </c>
      <c r="D14" t="str" cm="1">
        <f t="array" ref="D14">_xlfn.IFS($C14=45,"Motor Vehicles &amp; Motorcycles",$C14=46,"Wholesale Trade",$C14=47,"Retail Trade")</f>
        <v>Wholesale Trade</v>
      </c>
      <c r="E14" s="16">
        <v>48575</v>
      </c>
      <c r="F14">
        <v>118</v>
      </c>
      <c r="G14">
        <v>121</v>
      </c>
      <c r="I14" s="40">
        <v>43374</v>
      </c>
      <c r="J14">
        <v>101</v>
      </c>
      <c r="K14">
        <v>133</v>
      </c>
      <c r="L14">
        <v>126</v>
      </c>
      <c r="M14">
        <v>120</v>
      </c>
    </row>
    <row r="15" spans="1:13">
      <c r="A15" s="39">
        <v>43191</v>
      </c>
      <c r="B15" s="40">
        <f t="shared" si="0"/>
        <v>43191</v>
      </c>
      <c r="C15">
        <v>47</v>
      </c>
      <c r="D15" t="str" cm="1">
        <f t="array" ref="D15">_xlfn.IFS($C15=45,"Motor Vehicles &amp; Motorcycles",$C15=46,"Wholesale Trade",$C15=47,"Retail Trade")</f>
        <v>Retail Trade</v>
      </c>
      <c r="E15" s="16">
        <v>39129</v>
      </c>
      <c r="F15">
        <v>120</v>
      </c>
      <c r="G15">
        <v>124</v>
      </c>
      <c r="I15" s="40">
        <v>43405</v>
      </c>
      <c r="J15">
        <v>102</v>
      </c>
      <c r="K15">
        <v>134</v>
      </c>
      <c r="L15">
        <v>126</v>
      </c>
      <c r="M15">
        <v>120.666666666667</v>
      </c>
    </row>
    <row r="16" spans="1:13">
      <c r="A16" s="39">
        <v>43221</v>
      </c>
      <c r="B16" s="40">
        <f t="shared" si="0"/>
        <v>43221</v>
      </c>
      <c r="C16">
        <v>45</v>
      </c>
      <c r="D16" t="str" cm="1">
        <f t="array" ref="D16">_xlfn.IFS($C16=45,"Motor Vehicles &amp; Motorcycles",$C16=46,"Wholesale Trade",$C16=47,"Retail Trade")</f>
        <v>Motor Vehicles &amp; Motorcycles</v>
      </c>
      <c r="E16" s="16">
        <v>12308</v>
      </c>
      <c r="F16">
        <v>100</v>
      </c>
      <c r="G16">
        <v>100</v>
      </c>
      <c r="I16" s="40">
        <v>43435</v>
      </c>
      <c r="J16">
        <v>97</v>
      </c>
      <c r="K16">
        <v>135</v>
      </c>
      <c r="L16">
        <v>125</v>
      </c>
      <c r="M16">
        <v>119</v>
      </c>
    </row>
    <row r="17" spans="1:13">
      <c r="A17" s="39">
        <v>43221</v>
      </c>
      <c r="B17" s="40">
        <f t="shared" si="0"/>
        <v>43221</v>
      </c>
      <c r="C17">
        <v>46</v>
      </c>
      <c r="D17" t="str" cm="1">
        <f t="array" ref="D17">_xlfn.IFS($C17=45,"Motor Vehicles &amp; Motorcycles",$C17=46,"Wholesale Trade",$C17=47,"Retail Trade")</f>
        <v>Wholesale Trade</v>
      </c>
      <c r="E17" s="16">
        <v>50537</v>
      </c>
      <c r="F17">
        <v>125</v>
      </c>
      <c r="G17">
        <v>122</v>
      </c>
      <c r="I17" s="40">
        <v>43466</v>
      </c>
      <c r="J17">
        <v>105</v>
      </c>
      <c r="K17">
        <v>135</v>
      </c>
      <c r="L17">
        <v>125</v>
      </c>
      <c r="M17">
        <v>121.666666666667</v>
      </c>
    </row>
    <row r="18" spans="1:13">
      <c r="A18" s="39">
        <v>43221</v>
      </c>
      <c r="B18" s="40">
        <f t="shared" si="0"/>
        <v>43221</v>
      </c>
      <c r="C18">
        <v>47</v>
      </c>
      <c r="D18" t="str" cm="1">
        <f t="array" ref="D18">_xlfn.IFS($C18=45,"Motor Vehicles &amp; Motorcycles",$C18=46,"Wholesale Trade",$C18=47,"Retail Trade")</f>
        <v>Retail Trade</v>
      </c>
      <c r="E18" s="16">
        <v>40860</v>
      </c>
      <c r="F18">
        <v>122</v>
      </c>
      <c r="G18">
        <v>126</v>
      </c>
      <c r="I18" s="40">
        <v>43497</v>
      </c>
      <c r="J18">
        <v>104</v>
      </c>
      <c r="K18">
        <v>135</v>
      </c>
      <c r="L18">
        <v>125</v>
      </c>
      <c r="M18">
        <v>121.333333333333</v>
      </c>
    </row>
    <row r="19" spans="1:13">
      <c r="A19" s="39">
        <v>43252</v>
      </c>
      <c r="B19" s="40">
        <f t="shared" si="0"/>
        <v>43252</v>
      </c>
      <c r="C19">
        <v>45</v>
      </c>
      <c r="D19" t="str" cm="1">
        <f t="array" ref="D19">_xlfn.IFS($C19=45,"Motor Vehicles &amp; Motorcycles",$C19=46,"Wholesale Trade",$C19=47,"Retail Trade")</f>
        <v>Motor Vehicles &amp; Motorcycles</v>
      </c>
      <c r="E19" s="16">
        <v>13019</v>
      </c>
      <c r="F19">
        <v>109</v>
      </c>
      <c r="G19">
        <v>105</v>
      </c>
      <c r="I19" s="40">
        <v>43525</v>
      </c>
      <c r="J19">
        <v>102</v>
      </c>
      <c r="K19">
        <v>133</v>
      </c>
      <c r="L19">
        <v>124</v>
      </c>
      <c r="M19">
        <v>119.666666666667</v>
      </c>
    </row>
    <row r="20" spans="1:13">
      <c r="A20" s="39">
        <v>43252</v>
      </c>
      <c r="B20" s="40">
        <f t="shared" si="0"/>
        <v>43252</v>
      </c>
      <c r="C20">
        <v>46</v>
      </c>
      <c r="D20" t="str" cm="1">
        <f t="array" ref="D20">_xlfn.IFS($C20=45,"Motor Vehicles &amp; Motorcycles",$C20=46,"Wholesale Trade",$C20=47,"Retail Trade")</f>
        <v>Wholesale Trade</v>
      </c>
      <c r="E20" s="16">
        <v>50406</v>
      </c>
      <c r="F20">
        <v>124</v>
      </c>
      <c r="G20">
        <v>122</v>
      </c>
      <c r="I20" s="40">
        <v>43556</v>
      </c>
      <c r="J20">
        <v>106</v>
      </c>
      <c r="K20">
        <v>135</v>
      </c>
      <c r="L20">
        <v>126</v>
      </c>
      <c r="M20">
        <v>122.333333333333</v>
      </c>
    </row>
    <row r="21" spans="1:13">
      <c r="A21" s="39">
        <v>43252</v>
      </c>
      <c r="B21" s="40">
        <f t="shared" si="0"/>
        <v>43252</v>
      </c>
      <c r="C21">
        <v>47</v>
      </c>
      <c r="D21" t="str" cm="1">
        <f t="array" ref="D21">_xlfn.IFS($C21=45,"Motor Vehicles &amp; Motorcycles",$C21=46,"Wholesale Trade",$C21=47,"Retail Trade")</f>
        <v>Retail Trade</v>
      </c>
      <c r="E21" s="16">
        <v>42706</v>
      </c>
      <c r="F21">
        <v>134</v>
      </c>
      <c r="G21">
        <v>131</v>
      </c>
      <c r="I21" s="40">
        <v>43586</v>
      </c>
      <c r="J21">
        <v>108</v>
      </c>
      <c r="K21">
        <v>138</v>
      </c>
      <c r="L21">
        <v>127</v>
      </c>
      <c r="M21">
        <v>124.333333333333</v>
      </c>
    </row>
    <row r="22" spans="1:13">
      <c r="A22" s="39">
        <v>43282</v>
      </c>
      <c r="B22" s="40">
        <f t="shared" si="0"/>
        <v>43282</v>
      </c>
      <c r="C22">
        <v>45</v>
      </c>
      <c r="D22" t="str" cm="1">
        <f t="array" ref="D22">_xlfn.IFS($C22=45,"Motor Vehicles &amp; Motorcycles",$C22=46,"Wholesale Trade",$C22=47,"Retail Trade")</f>
        <v>Motor Vehicles &amp; Motorcycles</v>
      </c>
      <c r="E22" s="16">
        <v>13861</v>
      </c>
      <c r="F22">
        <v>114</v>
      </c>
      <c r="G22">
        <v>109</v>
      </c>
      <c r="I22" s="40">
        <v>43617</v>
      </c>
      <c r="J22">
        <v>105</v>
      </c>
      <c r="K22">
        <v>142</v>
      </c>
      <c r="L22">
        <v>129</v>
      </c>
      <c r="M22">
        <v>125.333333333333</v>
      </c>
    </row>
    <row r="23" spans="1:13">
      <c r="A23" s="39">
        <v>43282</v>
      </c>
      <c r="B23" s="40">
        <f t="shared" si="0"/>
        <v>43282</v>
      </c>
      <c r="C23">
        <v>46</v>
      </c>
      <c r="D23" t="str" cm="1">
        <f t="array" ref="D23">_xlfn.IFS($C23=45,"Motor Vehicles &amp; Motorcycles",$C23=46,"Wholesale Trade",$C23=47,"Retail Trade")</f>
        <v>Wholesale Trade</v>
      </c>
      <c r="E23" s="16">
        <v>49163</v>
      </c>
      <c r="F23">
        <v>120</v>
      </c>
      <c r="G23">
        <v>123</v>
      </c>
      <c r="I23" s="40">
        <v>43647</v>
      </c>
      <c r="J23">
        <v>106</v>
      </c>
      <c r="K23">
        <v>142</v>
      </c>
      <c r="L23">
        <v>130</v>
      </c>
      <c r="M23">
        <v>126</v>
      </c>
    </row>
    <row r="24" spans="1:13">
      <c r="A24" s="39">
        <v>43282</v>
      </c>
      <c r="B24" s="40">
        <f t="shared" si="0"/>
        <v>43282</v>
      </c>
      <c r="C24">
        <v>47</v>
      </c>
      <c r="D24" t="str" cm="1">
        <f t="array" ref="D24">_xlfn.IFS($C24=45,"Motor Vehicles &amp; Motorcycles",$C24=46,"Wholesale Trade",$C24=47,"Retail Trade")</f>
        <v>Retail Trade</v>
      </c>
      <c r="E24" s="16">
        <v>43427</v>
      </c>
      <c r="F24">
        <v>135</v>
      </c>
      <c r="G24">
        <v>134</v>
      </c>
      <c r="I24" s="40">
        <v>43678</v>
      </c>
      <c r="J24">
        <v>106</v>
      </c>
      <c r="K24">
        <v>142</v>
      </c>
      <c r="L24">
        <v>131</v>
      </c>
      <c r="M24">
        <v>126.333333333333</v>
      </c>
    </row>
    <row r="25" spans="1:13">
      <c r="A25" s="39">
        <v>43313</v>
      </c>
      <c r="B25" s="40">
        <f t="shared" si="0"/>
        <v>43313</v>
      </c>
      <c r="C25">
        <v>45</v>
      </c>
      <c r="D25" t="str" cm="1">
        <f t="array" ref="D25">_xlfn.IFS($C25=45,"Motor Vehicles &amp; Motorcycles",$C25=46,"Wholesale Trade",$C25=47,"Retail Trade")</f>
        <v>Motor Vehicles &amp; Motorcycles</v>
      </c>
      <c r="E25" s="16">
        <v>13467</v>
      </c>
      <c r="F25">
        <v>110</v>
      </c>
      <c r="G25">
        <v>107</v>
      </c>
      <c r="I25" s="40">
        <v>43709</v>
      </c>
      <c r="J25">
        <v>101</v>
      </c>
      <c r="K25">
        <v>141</v>
      </c>
      <c r="L25">
        <v>131</v>
      </c>
      <c r="M25">
        <v>124.333333333333</v>
      </c>
    </row>
    <row r="26" spans="1:13">
      <c r="A26" s="39">
        <v>43313</v>
      </c>
      <c r="B26" s="40">
        <f t="shared" si="0"/>
        <v>43313</v>
      </c>
      <c r="C26">
        <v>46</v>
      </c>
      <c r="D26" t="str" cm="1">
        <f t="array" ref="D26">_xlfn.IFS($C26=45,"Motor Vehicles &amp; Motorcycles",$C26=46,"Wholesale Trade",$C26=47,"Retail Trade")</f>
        <v>Wholesale Trade</v>
      </c>
      <c r="E26" s="16">
        <v>50920</v>
      </c>
      <c r="F26">
        <v>125</v>
      </c>
      <c r="G26">
        <v>125</v>
      </c>
      <c r="I26" s="40">
        <v>43739</v>
      </c>
      <c r="J26">
        <v>105</v>
      </c>
      <c r="K26">
        <v>142</v>
      </c>
      <c r="L26">
        <v>131</v>
      </c>
      <c r="M26">
        <v>126</v>
      </c>
    </row>
    <row r="27" spans="1:13">
      <c r="A27" s="39">
        <v>43313</v>
      </c>
      <c r="B27" s="40">
        <f t="shared" si="0"/>
        <v>43313</v>
      </c>
      <c r="C27">
        <v>47</v>
      </c>
      <c r="D27" t="str" cm="1">
        <f t="array" ref="D27">_xlfn.IFS($C27=45,"Motor Vehicles &amp; Motorcycles",$C27=46,"Wholesale Trade",$C27=47,"Retail Trade")</f>
        <v>Retail Trade</v>
      </c>
      <c r="E27" s="16">
        <v>43478</v>
      </c>
      <c r="F27">
        <v>133</v>
      </c>
      <c r="G27">
        <v>136</v>
      </c>
      <c r="I27" s="40">
        <v>43770</v>
      </c>
      <c r="J27">
        <v>105</v>
      </c>
      <c r="K27">
        <v>143</v>
      </c>
      <c r="L27">
        <v>131</v>
      </c>
      <c r="M27">
        <v>126.333333333333</v>
      </c>
    </row>
    <row r="28" spans="1:13">
      <c r="A28" s="39">
        <v>43344</v>
      </c>
      <c r="B28" s="40">
        <f t="shared" si="0"/>
        <v>43344</v>
      </c>
      <c r="C28">
        <v>45</v>
      </c>
      <c r="D28" t="str" cm="1">
        <f t="array" ref="D28">_xlfn.IFS($C28=45,"Motor Vehicles &amp; Motorcycles",$C28=46,"Wholesale Trade",$C28=47,"Retail Trade")</f>
        <v>Motor Vehicles &amp; Motorcycles</v>
      </c>
      <c r="E28" s="16">
        <v>11164</v>
      </c>
      <c r="F28">
        <v>93</v>
      </c>
      <c r="G28">
        <v>94</v>
      </c>
      <c r="I28" s="40">
        <v>43800</v>
      </c>
      <c r="J28">
        <v>104</v>
      </c>
      <c r="K28">
        <v>144</v>
      </c>
      <c r="L28">
        <v>132</v>
      </c>
      <c r="M28">
        <v>126.666666666667</v>
      </c>
    </row>
    <row r="29" spans="1:13">
      <c r="A29" s="39">
        <v>43344</v>
      </c>
      <c r="B29" s="40">
        <f t="shared" si="0"/>
        <v>43344</v>
      </c>
      <c r="C29">
        <v>46</v>
      </c>
      <c r="D29" t="str" cm="1">
        <f t="array" ref="D29">_xlfn.IFS($C29=45,"Motor Vehicles &amp; Motorcycles",$C29=46,"Wholesale Trade",$C29=47,"Retail Trade")</f>
        <v>Wholesale Trade</v>
      </c>
      <c r="E29" s="16">
        <v>52382</v>
      </c>
      <c r="F29">
        <v>129</v>
      </c>
      <c r="G29">
        <v>126</v>
      </c>
      <c r="I29" s="40">
        <v>43831</v>
      </c>
      <c r="J29">
        <v>104</v>
      </c>
      <c r="K29">
        <v>141</v>
      </c>
      <c r="L29">
        <v>128</v>
      </c>
      <c r="M29">
        <v>124.333333333333</v>
      </c>
    </row>
    <row r="30" spans="1:13">
      <c r="A30" s="39">
        <v>43344</v>
      </c>
      <c r="B30" s="40">
        <f t="shared" si="0"/>
        <v>43344</v>
      </c>
      <c r="C30">
        <v>47</v>
      </c>
      <c r="D30" t="str" cm="1">
        <f t="array" ref="D30">_xlfn.IFS($C30=45,"Motor Vehicles &amp; Motorcycles",$C30=46,"Wholesale Trade",$C30=47,"Retail Trade")</f>
        <v>Retail Trade</v>
      </c>
      <c r="E30" s="16">
        <v>41171</v>
      </c>
      <c r="F30">
        <v>126</v>
      </c>
      <c r="G30">
        <v>129</v>
      </c>
      <c r="I30" s="40">
        <v>43862</v>
      </c>
      <c r="J30">
        <v>102</v>
      </c>
      <c r="K30">
        <v>144</v>
      </c>
      <c r="L30">
        <v>131</v>
      </c>
      <c r="M30">
        <v>125.666666666667</v>
      </c>
    </row>
    <row r="31" spans="1:13">
      <c r="A31" s="39">
        <v>43374</v>
      </c>
      <c r="B31" s="40">
        <f t="shared" si="0"/>
        <v>43374</v>
      </c>
      <c r="C31">
        <v>45</v>
      </c>
      <c r="D31" t="str" cm="1">
        <f t="array" ref="D31">_xlfn.IFS($C31=45,"Motor Vehicles &amp; Motorcycles",$C31=46,"Wholesale Trade",$C31=47,"Retail Trade")</f>
        <v>Motor Vehicles &amp; Motorcycles</v>
      </c>
      <c r="E31" s="16">
        <v>12132</v>
      </c>
      <c r="F31">
        <v>100</v>
      </c>
      <c r="G31">
        <v>101</v>
      </c>
      <c r="I31" s="40">
        <v>43891</v>
      </c>
      <c r="J31">
        <v>85</v>
      </c>
      <c r="K31">
        <v>128</v>
      </c>
      <c r="L31">
        <v>125</v>
      </c>
      <c r="M31">
        <v>112.666666666667</v>
      </c>
    </row>
    <row r="32" spans="1:13">
      <c r="A32" s="39">
        <v>43374</v>
      </c>
      <c r="B32" s="40">
        <f t="shared" si="0"/>
        <v>43374</v>
      </c>
      <c r="C32">
        <v>46</v>
      </c>
      <c r="D32" t="str" cm="1">
        <f t="array" ref="D32">_xlfn.IFS($C32=45,"Motor Vehicles &amp; Motorcycles",$C32=46,"Wholesale Trade",$C32=47,"Retail Trade")</f>
        <v>Wholesale Trade</v>
      </c>
      <c r="E32" s="16">
        <v>51889</v>
      </c>
      <c r="F32">
        <v>129</v>
      </c>
      <c r="G32">
        <v>126</v>
      </c>
      <c r="I32" s="40">
        <v>43922</v>
      </c>
      <c r="J32">
        <v>7</v>
      </c>
      <c r="K32">
        <v>90</v>
      </c>
      <c r="L32">
        <v>93</v>
      </c>
      <c r="M32">
        <v>63.3333333333333</v>
      </c>
    </row>
    <row r="33" spans="1:13">
      <c r="A33" s="39">
        <v>43374</v>
      </c>
      <c r="B33" s="40">
        <f t="shared" si="0"/>
        <v>43374</v>
      </c>
      <c r="C33">
        <v>47</v>
      </c>
      <c r="D33" t="str" cm="1">
        <f t="array" ref="D33">_xlfn.IFS($C33=45,"Motor Vehicles &amp; Motorcycles",$C33=46,"Wholesale Trade",$C33=47,"Retail Trade")</f>
        <v>Retail Trade</v>
      </c>
      <c r="E33" s="16">
        <v>41997</v>
      </c>
      <c r="F33">
        <v>131</v>
      </c>
      <c r="G33">
        <v>133</v>
      </c>
      <c r="I33" s="40">
        <v>43952</v>
      </c>
      <c r="J33">
        <v>60</v>
      </c>
      <c r="K33">
        <v>119</v>
      </c>
      <c r="L33">
        <v>101</v>
      </c>
      <c r="M33">
        <v>93.3333333333333</v>
      </c>
    </row>
    <row r="34" spans="1:13">
      <c r="A34" s="39">
        <v>43405</v>
      </c>
      <c r="B34" s="40">
        <f t="shared" si="0"/>
        <v>43405</v>
      </c>
      <c r="C34">
        <v>45</v>
      </c>
      <c r="D34" t="str" cm="1">
        <f t="array" ref="D34">_xlfn.IFS($C34=45,"Motor Vehicles &amp; Motorcycles",$C34=46,"Wholesale Trade",$C34=47,"Retail Trade")</f>
        <v>Motor Vehicles &amp; Motorcycles</v>
      </c>
      <c r="E34" s="16">
        <v>12287</v>
      </c>
      <c r="F34">
        <v>102</v>
      </c>
      <c r="G34">
        <v>102</v>
      </c>
      <c r="I34" s="40">
        <v>43983</v>
      </c>
      <c r="J34">
        <v>108</v>
      </c>
      <c r="K34">
        <v>127</v>
      </c>
      <c r="L34">
        <v>123</v>
      </c>
      <c r="M34">
        <v>119.333333333333</v>
      </c>
    </row>
    <row r="35" spans="1:13">
      <c r="A35" s="39">
        <v>43405</v>
      </c>
      <c r="B35" s="40">
        <f t="shared" si="0"/>
        <v>43405</v>
      </c>
      <c r="C35">
        <v>46</v>
      </c>
      <c r="D35" t="str" cm="1">
        <f t="array" ref="D35">_xlfn.IFS($C35=45,"Motor Vehicles &amp; Motorcycles",$C35=46,"Wholesale Trade",$C35=47,"Retail Trade")</f>
        <v>Wholesale Trade</v>
      </c>
      <c r="E35" s="16">
        <v>51045</v>
      </c>
      <c r="F35">
        <v>123</v>
      </c>
      <c r="G35">
        <v>126</v>
      </c>
      <c r="I35" s="40">
        <v>44013</v>
      </c>
      <c r="J35">
        <v>110</v>
      </c>
      <c r="K35">
        <v>135</v>
      </c>
      <c r="L35">
        <v>127</v>
      </c>
      <c r="M35">
        <v>124</v>
      </c>
    </row>
    <row r="36" spans="1:13">
      <c r="A36" s="39">
        <v>43405</v>
      </c>
      <c r="B36" s="40">
        <f t="shared" si="0"/>
        <v>43405</v>
      </c>
      <c r="C36">
        <v>47</v>
      </c>
      <c r="D36" t="str" cm="1">
        <f t="array" ref="D36">_xlfn.IFS($C36=45,"Motor Vehicles &amp; Motorcycles",$C36=46,"Wholesale Trade",$C36=47,"Retail Trade")</f>
        <v>Retail Trade</v>
      </c>
      <c r="E36" s="16">
        <v>42858</v>
      </c>
      <c r="F36">
        <v>134</v>
      </c>
      <c r="G36">
        <v>134</v>
      </c>
      <c r="I36" s="40">
        <v>44044</v>
      </c>
      <c r="J36">
        <v>110</v>
      </c>
      <c r="K36">
        <v>137</v>
      </c>
      <c r="L36">
        <v>125</v>
      </c>
      <c r="M36">
        <v>124</v>
      </c>
    </row>
    <row r="37" spans="1:13">
      <c r="A37" s="39">
        <v>43435</v>
      </c>
      <c r="B37" s="40">
        <f t="shared" si="0"/>
        <v>43435</v>
      </c>
      <c r="C37">
        <v>45</v>
      </c>
      <c r="D37" t="str" cm="1">
        <f t="array" ref="D37">_xlfn.IFS($C37=45,"Motor Vehicles &amp; Motorcycles",$C37=46,"Wholesale Trade",$C37=47,"Retail Trade")</f>
        <v>Motor Vehicles &amp; Motorcycles</v>
      </c>
      <c r="E37" s="16">
        <v>11898</v>
      </c>
      <c r="F37">
        <v>98</v>
      </c>
      <c r="G37">
        <v>97</v>
      </c>
      <c r="I37" s="40">
        <v>44075</v>
      </c>
      <c r="J37">
        <v>113</v>
      </c>
      <c r="K37">
        <v>138</v>
      </c>
      <c r="L37">
        <v>125</v>
      </c>
      <c r="M37">
        <v>125.333333333333</v>
      </c>
    </row>
    <row r="38" spans="1:13">
      <c r="A38" s="39">
        <v>43435</v>
      </c>
      <c r="B38" s="40">
        <f t="shared" si="0"/>
        <v>43435</v>
      </c>
      <c r="C38">
        <v>46</v>
      </c>
      <c r="D38" t="str" cm="1">
        <f t="array" ref="D38">_xlfn.IFS($C38=45,"Motor Vehicles &amp; Motorcycles",$C38=46,"Wholesale Trade",$C38=47,"Retail Trade")</f>
        <v>Wholesale Trade</v>
      </c>
      <c r="E38" s="16">
        <v>52746</v>
      </c>
      <c r="F38">
        <v>125</v>
      </c>
      <c r="G38">
        <v>125</v>
      </c>
      <c r="I38" s="40">
        <v>44105</v>
      </c>
      <c r="J38">
        <v>101</v>
      </c>
      <c r="K38">
        <v>135</v>
      </c>
      <c r="L38">
        <v>127</v>
      </c>
      <c r="M38">
        <v>121</v>
      </c>
    </row>
    <row r="39" spans="1:13">
      <c r="A39" s="39">
        <v>43435</v>
      </c>
      <c r="B39" s="40">
        <f t="shared" si="0"/>
        <v>43435</v>
      </c>
      <c r="C39">
        <v>47</v>
      </c>
      <c r="D39" t="str" cm="1">
        <f t="array" ref="D39">_xlfn.IFS($C39=45,"Motor Vehicles &amp; Motorcycles",$C39=46,"Wholesale Trade",$C39=47,"Retail Trade")</f>
        <v>Retail Trade</v>
      </c>
      <c r="E39" s="16">
        <v>44666</v>
      </c>
      <c r="F39">
        <v>140</v>
      </c>
      <c r="G39">
        <v>135</v>
      </c>
      <c r="I39" s="40">
        <v>44136</v>
      </c>
      <c r="J39">
        <v>102</v>
      </c>
      <c r="K39">
        <v>135</v>
      </c>
      <c r="L39">
        <v>127</v>
      </c>
      <c r="M39">
        <v>121.333333333333</v>
      </c>
    </row>
    <row r="40" spans="1:13">
      <c r="A40" s="39">
        <v>43466</v>
      </c>
      <c r="B40" s="40">
        <f t="shared" si="0"/>
        <v>43466</v>
      </c>
      <c r="C40">
        <v>45</v>
      </c>
      <c r="D40" t="str" cm="1">
        <f t="array" ref="D40">_xlfn.IFS($C40=45,"Motor Vehicles &amp; Motorcycles",$C40=46,"Wholesale Trade",$C40=47,"Retail Trade")</f>
        <v>Motor Vehicles &amp; Motorcycles</v>
      </c>
      <c r="E40" s="16">
        <v>12211</v>
      </c>
      <c r="F40">
        <v>103</v>
      </c>
      <c r="G40">
        <v>105</v>
      </c>
      <c r="I40" s="40">
        <v>44166</v>
      </c>
      <c r="J40">
        <v>110</v>
      </c>
      <c r="K40">
        <v>137</v>
      </c>
      <c r="L40">
        <v>128</v>
      </c>
      <c r="M40">
        <v>125</v>
      </c>
    </row>
    <row r="41" spans="1:13">
      <c r="A41" s="39">
        <v>43466</v>
      </c>
      <c r="B41" s="40">
        <f t="shared" si="0"/>
        <v>43466</v>
      </c>
      <c r="C41">
        <v>46</v>
      </c>
      <c r="D41" t="str" cm="1">
        <f t="array" ref="D41">_xlfn.IFS($C41=45,"Motor Vehicles &amp; Motorcycles",$C41=46,"Wholesale Trade",$C41=47,"Retail Trade")</f>
        <v>Wholesale Trade</v>
      </c>
      <c r="E41" s="16">
        <v>52858</v>
      </c>
      <c r="F41">
        <v>125</v>
      </c>
      <c r="G41">
        <v>125</v>
      </c>
      <c r="I41" s="40">
        <v>44197</v>
      </c>
      <c r="J41">
        <v>90</v>
      </c>
      <c r="K41">
        <v>136</v>
      </c>
      <c r="L41">
        <v>128</v>
      </c>
      <c r="M41">
        <v>118</v>
      </c>
    </row>
    <row r="42" spans="1:13">
      <c r="A42" s="39">
        <v>43466</v>
      </c>
      <c r="B42" s="40">
        <f t="shared" si="0"/>
        <v>43466</v>
      </c>
      <c r="C42">
        <v>47</v>
      </c>
      <c r="D42" t="str" cm="1">
        <f t="array" ref="D42">_xlfn.IFS($C42=45,"Motor Vehicles &amp; Motorcycles",$C42=46,"Wholesale Trade",$C42=47,"Retail Trade")</f>
        <v>Retail Trade</v>
      </c>
      <c r="E42" s="16">
        <v>43875</v>
      </c>
      <c r="F42">
        <v>138</v>
      </c>
      <c r="G42">
        <v>135</v>
      </c>
      <c r="I42" s="40">
        <v>44228</v>
      </c>
      <c r="J42">
        <v>100</v>
      </c>
      <c r="K42">
        <v>140</v>
      </c>
      <c r="L42">
        <v>131</v>
      </c>
      <c r="M42">
        <v>123.666666666667</v>
      </c>
    </row>
    <row r="43" spans="1:13">
      <c r="A43" s="39">
        <v>43497</v>
      </c>
      <c r="B43" s="40">
        <f t="shared" si="0"/>
        <v>43497</v>
      </c>
      <c r="C43">
        <v>45</v>
      </c>
      <c r="D43" t="str" cm="1">
        <f t="array" ref="D43">_xlfn.IFS($C43=45,"Motor Vehicles &amp; Motorcycles",$C43=46,"Wholesale Trade",$C43=47,"Retail Trade")</f>
        <v>Motor Vehicles &amp; Motorcycles</v>
      </c>
      <c r="E43" s="16">
        <v>10782</v>
      </c>
      <c r="F43">
        <v>96</v>
      </c>
      <c r="G43">
        <v>104</v>
      </c>
      <c r="I43" s="40">
        <v>44256</v>
      </c>
      <c r="J43">
        <v>110</v>
      </c>
      <c r="K43">
        <v>141</v>
      </c>
      <c r="L43">
        <v>129</v>
      </c>
      <c r="M43">
        <v>126.666666666667</v>
      </c>
    </row>
    <row r="44" spans="1:13">
      <c r="A44" s="39">
        <v>43497</v>
      </c>
      <c r="B44" s="40">
        <f t="shared" si="0"/>
        <v>43497</v>
      </c>
      <c r="C44">
        <v>46</v>
      </c>
      <c r="D44" t="str" cm="1">
        <f t="array" ref="D44">_xlfn.IFS($C44=45,"Motor Vehicles &amp; Motorcycles",$C44=46,"Wholesale Trade",$C44=47,"Retail Trade")</f>
        <v>Wholesale Trade</v>
      </c>
      <c r="E44" s="16">
        <v>50157</v>
      </c>
      <c r="F44">
        <v>119</v>
      </c>
      <c r="G44">
        <v>125</v>
      </c>
      <c r="I44" s="40">
        <v>44287</v>
      </c>
      <c r="J44">
        <v>129</v>
      </c>
      <c r="K44">
        <v>147</v>
      </c>
      <c r="L44">
        <v>133</v>
      </c>
      <c r="M44">
        <v>136.333333333333</v>
      </c>
    </row>
    <row r="45" spans="1:13">
      <c r="A45" s="39">
        <v>43497</v>
      </c>
      <c r="B45" s="40">
        <f t="shared" si="0"/>
        <v>43497</v>
      </c>
      <c r="C45">
        <v>47</v>
      </c>
      <c r="D45" t="str" cm="1">
        <f t="array" ref="D45">_xlfn.IFS($C45=45,"Motor Vehicles &amp; Motorcycles",$C45=46,"Wholesale Trade",$C45=47,"Retail Trade")</f>
        <v>Retail Trade</v>
      </c>
      <c r="E45" s="16">
        <v>42543</v>
      </c>
      <c r="F45">
        <v>133</v>
      </c>
      <c r="G45">
        <v>135</v>
      </c>
      <c r="I45" s="40">
        <v>44317</v>
      </c>
      <c r="J45">
        <v>101</v>
      </c>
      <c r="K45">
        <v>144</v>
      </c>
      <c r="L45">
        <v>129</v>
      </c>
      <c r="M45">
        <v>124.666666666667</v>
      </c>
    </row>
    <row r="46" spans="1:13">
      <c r="A46" s="39">
        <v>43525</v>
      </c>
      <c r="B46" s="40">
        <f t="shared" si="0"/>
        <v>43525</v>
      </c>
      <c r="C46">
        <v>45</v>
      </c>
      <c r="D46" t="str" cm="1">
        <f t="array" ref="D46">_xlfn.IFS($C46=45,"Motor Vehicles &amp; Motorcycles",$C46=46,"Wholesale Trade",$C46=47,"Retail Trade")</f>
        <v>Motor Vehicles &amp; Motorcycles</v>
      </c>
      <c r="E46" s="16">
        <v>12594</v>
      </c>
      <c r="F46">
        <v>104</v>
      </c>
      <c r="G46">
        <v>102</v>
      </c>
      <c r="I46" s="40">
        <v>44348</v>
      </c>
      <c r="J46">
        <v>8</v>
      </c>
      <c r="K46">
        <v>123</v>
      </c>
      <c r="L46">
        <v>123</v>
      </c>
      <c r="M46">
        <v>84.6666666666667</v>
      </c>
    </row>
    <row r="47" spans="1:13">
      <c r="A47" s="39">
        <v>43525</v>
      </c>
      <c r="B47" s="40">
        <f t="shared" si="0"/>
        <v>43525</v>
      </c>
      <c r="C47">
        <v>46</v>
      </c>
      <c r="D47" t="str" cm="1">
        <f t="array" ref="D47">_xlfn.IFS($C47=45,"Motor Vehicles &amp; Motorcycles",$C47=46,"Wholesale Trade",$C47=47,"Retail Trade")</f>
        <v>Wholesale Trade</v>
      </c>
      <c r="E47" s="16">
        <v>53210</v>
      </c>
      <c r="F47">
        <v>127</v>
      </c>
      <c r="G47">
        <v>124</v>
      </c>
      <c r="I47" s="40">
        <v>44378</v>
      </c>
      <c r="J47">
        <v>13</v>
      </c>
      <c r="K47">
        <v>123</v>
      </c>
      <c r="L47">
        <v>123</v>
      </c>
      <c r="M47">
        <v>86.3333333333333</v>
      </c>
    </row>
    <row r="48" spans="1:13">
      <c r="A48" s="39">
        <v>43525</v>
      </c>
      <c r="B48" s="40">
        <f t="shared" si="0"/>
        <v>43525</v>
      </c>
      <c r="C48">
        <v>47</v>
      </c>
      <c r="D48" t="str" cm="1">
        <f t="array" ref="D48">_xlfn.IFS($C48=45,"Motor Vehicles &amp; Motorcycles",$C48=46,"Wholesale Trade",$C48=47,"Retail Trade")</f>
        <v>Retail Trade</v>
      </c>
      <c r="E48" s="16">
        <v>43634</v>
      </c>
      <c r="F48">
        <v>137</v>
      </c>
      <c r="G48">
        <v>133</v>
      </c>
      <c r="I48" s="40">
        <v>44409</v>
      </c>
      <c r="J48">
        <v>45</v>
      </c>
      <c r="K48">
        <v>127</v>
      </c>
      <c r="L48">
        <v>120</v>
      </c>
      <c r="M48">
        <v>97.3333333333333</v>
      </c>
    </row>
    <row r="49" spans="1:13">
      <c r="A49" s="39">
        <v>43556</v>
      </c>
      <c r="B49" s="40">
        <f t="shared" si="0"/>
        <v>43556</v>
      </c>
      <c r="C49">
        <v>45</v>
      </c>
      <c r="D49" t="str" cm="1">
        <f t="array" ref="D49">_xlfn.IFS($C49=45,"Motor Vehicles &amp; Motorcycles",$C49=46,"Wholesale Trade",$C49=47,"Retail Trade")</f>
        <v>Motor Vehicles &amp; Motorcycles</v>
      </c>
      <c r="E49" s="16">
        <v>12337</v>
      </c>
      <c r="F49">
        <v>99</v>
      </c>
      <c r="G49">
        <v>106</v>
      </c>
      <c r="I49" s="40">
        <v>44440</v>
      </c>
      <c r="J49">
        <v>84</v>
      </c>
      <c r="K49">
        <v>133</v>
      </c>
      <c r="L49">
        <v>122</v>
      </c>
      <c r="M49">
        <v>113</v>
      </c>
    </row>
    <row r="50" spans="1:13">
      <c r="A50" s="39">
        <v>43556</v>
      </c>
      <c r="B50" s="40">
        <f t="shared" si="0"/>
        <v>43556</v>
      </c>
      <c r="C50">
        <v>46</v>
      </c>
      <c r="D50" t="str" cm="1">
        <f t="array" ref="D50">_xlfn.IFS($C50=45,"Motor Vehicles &amp; Motorcycles",$C50=46,"Wholesale Trade",$C50=47,"Retail Trade")</f>
        <v>Wholesale Trade</v>
      </c>
      <c r="E50" s="16">
        <v>51169</v>
      </c>
      <c r="F50">
        <v>122</v>
      </c>
      <c r="G50">
        <v>126</v>
      </c>
      <c r="I50" s="40">
        <v>44470</v>
      </c>
      <c r="J50">
        <v>108</v>
      </c>
      <c r="K50">
        <v>138</v>
      </c>
      <c r="L50">
        <v>124</v>
      </c>
      <c r="M50">
        <v>123.333333333333</v>
      </c>
    </row>
    <row r="51" spans="1:13">
      <c r="A51" s="39">
        <v>43556</v>
      </c>
      <c r="B51" s="40">
        <f t="shared" si="0"/>
        <v>43556</v>
      </c>
      <c r="C51">
        <v>47</v>
      </c>
      <c r="D51" t="str" cm="1">
        <f t="array" ref="D51">_xlfn.IFS($C51=45,"Motor Vehicles &amp; Motorcycles",$C51=46,"Wholesale Trade",$C51=47,"Retail Trade")</f>
        <v>Retail Trade</v>
      </c>
      <c r="E51" s="16">
        <v>41867</v>
      </c>
      <c r="F51">
        <v>129</v>
      </c>
      <c r="G51">
        <v>135</v>
      </c>
      <c r="I51" s="40">
        <v>44501</v>
      </c>
      <c r="J51">
        <v>105</v>
      </c>
      <c r="K51">
        <v>140</v>
      </c>
      <c r="L51">
        <v>128</v>
      </c>
      <c r="M51">
        <v>124.333333333333</v>
      </c>
    </row>
    <row r="52" spans="1:13">
      <c r="A52" s="39">
        <v>43586</v>
      </c>
      <c r="B52" s="40">
        <f t="shared" si="0"/>
        <v>43586</v>
      </c>
      <c r="C52">
        <v>45</v>
      </c>
      <c r="D52" t="str" cm="1">
        <f t="array" ref="D52">_xlfn.IFS($C52=45,"Motor Vehicles &amp; Motorcycles",$C52=46,"Wholesale Trade",$C52=47,"Retail Trade")</f>
        <v>Motor Vehicles &amp; Motorcycles</v>
      </c>
      <c r="E52" s="16">
        <v>13425</v>
      </c>
      <c r="F52">
        <v>109</v>
      </c>
      <c r="G52">
        <v>108</v>
      </c>
      <c r="I52" s="40">
        <v>44531</v>
      </c>
      <c r="J52">
        <v>111</v>
      </c>
      <c r="K52">
        <v>138</v>
      </c>
      <c r="L52">
        <v>128</v>
      </c>
      <c r="M52">
        <v>125.666666666667</v>
      </c>
    </row>
    <row r="53" spans="1:13">
      <c r="A53" s="39">
        <v>43586</v>
      </c>
      <c r="B53" s="40">
        <f t="shared" si="0"/>
        <v>43586</v>
      </c>
      <c r="C53">
        <v>46</v>
      </c>
      <c r="D53" t="str" cm="1">
        <f t="array" ref="D53">_xlfn.IFS($C53=45,"Motor Vehicles &amp; Motorcycles",$C53=46,"Wholesale Trade",$C53=47,"Retail Trade")</f>
        <v>Wholesale Trade</v>
      </c>
      <c r="E53" s="16">
        <v>53306</v>
      </c>
      <c r="F53">
        <v>129</v>
      </c>
      <c r="G53">
        <v>127</v>
      </c>
      <c r="I53" s="40">
        <v>44562</v>
      </c>
      <c r="J53">
        <v>104</v>
      </c>
      <c r="K53">
        <v>143</v>
      </c>
      <c r="L53">
        <v>129</v>
      </c>
      <c r="M53">
        <v>125.333333333333</v>
      </c>
    </row>
    <row r="54" spans="1:13">
      <c r="A54" s="39">
        <v>43586</v>
      </c>
      <c r="B54" s="40">
        <f t="shared" si="0"/>
        <v>43586</v>
      </c>
      <c r="C54">
        <v>47</v>
      </c>
      <c r="D54" t="str" cm="1">
        <f t="array" ref="D54">_xlfn.IFS($C54=45,"Motor Vehicles &amp; Motorcycles",$C54=46,"Wholesale Trade",$C54=47,"Retail Trade")</f>
        <v>Retail Trade</v>
      </c>
      <c r="E54" s="16">
        <v>44066</v>
      </c>
      <c r="F54">
        <v>134</v>
      </c>
      <c r="G54">
        <v>138</v>
      </c>
      <c r="I54" s="40">
        <v>44593</v>
      </c>
      <c r="J54">
        <v>107</v>
      </c>
      <c r="K54">
        <v>151</v>
      </c>
      <c r="L54">
        <v>131</v>
      </c>
      <c r="M54">
        <v>129.666666666667</v>
      </c>
    </row>
    <row r="55" spans="1:13">
      <c r="A55" s="39">
        <v>43617</v>
      </c>
      <c r="B55" s="40">
        <f t="shared" si="0"/>
        <v>43617</v>
      </c>
      <c r="C55">
        <v>45</v>
      </c>
      <c r="D55" t="str" cm="1">
        <f t="array" ref="D55">_xlfn.IFS($C55=45,"Motor Vehicles &amp; Motorcycles",$C55=46,"Wholesale Trade",$C55=47,"Retail Trade")</f>
        <v>Motor Vehicles &amp; Motorcycles</v>
      </c>
      <c r="E55" s="16">
        <v>12700</v>
      </c>
      <c r="F55">
        <v>109</v>
      </c>
      <c r="G55">
        <v>105</v>
      </c>
      <c r="I55" s="40">
        <v>44621</v>
      </c>
      <c r="J55">
        <v>116</v>
      </c>
      <c r="K55">
        <v>152</v>
      </c>
      <c r="L55">
        <v>130</v>
      </c>
      <c r="M55">
        <v>132.666666666667</v>
      </c>
    </row>
    <row r="56" spans="1:13">
      <c r="A56" s="39">
        <v>43617</v>
      </c>
      <c r="B56" s="40">
        <f t="shared" si="0"/>
        <v>43617</v>
      </c>
      <c r="C56">
        <v>46</v>
      </c>
      <c r="D56" t="str" cm="1">
        <f t="array" ref="D56">_xlfn.IFS($C56=45,"Motor Vehicles &amp; Motorcycles",$C56=46,"Wholesale Trade",$C56=47,"Retail Trade")</f>
        <v>Wholesale Trade</v>
      </c>
      <c r="E56" s="16">
        <v>53640</v>
      </c>
      <c r="F56">
        <v>130</v>
      </c>
      <c r="G56">
        <v>129</v>
      </c>
      <c r="I56" s="40">
        <v>44652</v>
      </c>
      <c r="J56">
        <v>134</v>
      </c>
      <c r="K56">
        <v>176</v>
      </c>
      <c r="L56">
        <v>139</v>
      </c>
      <c r="M56">
        <v>149.666666666667</v>
      </c>
    </row>
    <row r="57" spans="1:13">
      <c r="A57" s="39">
        <v>43617</v>
      </c>
      <c r="B57" s="40">
        <f t="shared" si="0"/>
        <v>43617</v>
      </c>
      <c r="C57">
        <v>47</v>
      </c>
      <c r="D57" t="str" cm="1">
        <f t="array" ref="D57">_xlfn.IFS($C57=45,"Motor Vehicles &amp; Motorcycles",$C57=46,"Wholesale Trade",$C57=47,"Retail Trade")</f>
        <v>Retail Trade</v>
      </c>
      <c r="E57" s="16">
        <v>46000</v>
      </c>
      <c r="F57">
        <v>147</v>
      </c>
      <c r="G57">
        <v>142</v>
      </c>
      <c r="I57" s="40">
        <v>44682</v>
      </c>
      <c r="J57">
        <v>134</v>
      </c>
      <c r="K57">
        <v>172</v>
      </c>
      <c r="L57">
        <v>133</v>
      </c>
      <c r="M57">
        <v>146.333333333333</v>
      </c>
    </row>
    <row r="58" spans="1:13">
      <c r="A58" s="39">
        <v>43647</v>
      </c>
      <c r="B58" s="40">
        <f t="shared" si="0"/>
        <v>43647</v>
      </c>
      <c r="C58">
        <v>45</v>
      </c>
      <c r="D58" t="str" cm="1">
        <f t="array" ref="D58">_xlfn.IFS($C58=45,"Motor Vehicles &amp; Motorcycles",$C58=46,"Wholesale Trade",$C58=47,"Retail Trade")</f>
        <v>Motor Vehicles &amp; Motorcycles</v>
      </c>
      <c r="E58" s="16">
        <v>13628</v>
      </c>
      <c r="F58">
        <v>114</v>
      </c>
      <c r="G58">
        <v>106</v>
      </c>
      <c r="I58" s="40">
        <v>44713</v>
      </c>
      <c r="J58">
        <v>129</v>
      </c>
      <c r="K58">
        <v>162</v>
      </c>
      <c r="L58">
        <v>135</v>
      </c>
      <c r="M58">
        <v>142</v>
      </c>
    </row>
    <row r="59" spans="1:13">
      <c r="A59" s="39">
        <v>43647</v>
      </c>
      <c r="B59" s="40">
        <f t="shared" si="0"/>
        <v>43647</v>
      </c>
      <c r="C59">
        <v>46</v>
      </c>
      <c r="D59" t="str" cm="1">
        <f t="array" ref="D59">_xlfn.IFS($C59=45,"Motor Vehicles &amp; Motorcycles",$C59=46,"Wholesale Trade",$C59=47,"Retail Trade")</f>
        <v>Wholesale Trade</v>
      </c>
      <c r="E59" s="16">
        <v>52400</v>
      </c>
      <c r="F59">
        <v>127</v>
      </c>
      <c r="G59">
        <v>130</v>
      </c>
      <c r="I59" s="40">
        <v>44743</v>
      </c>
      <c r="J59">
        <v>115</v>
      </c>
      <c r="K59">
        <v>177</v>
      </c>
      <c r="L59">
        <v>135</v>
      </c>
      <c r="M59">
        <v>142.333333333333</v>
      </c>
    </row>
    <row r="60" spans="1:13">
      <c r="A60" s="39">
        <v>43647</v>
      </c>
      <c r="B60" s="40">
        <f t="shared" si="0"/>
        <v>43647</v>
      </c>
      <c r="C60">
        <v>47</v>
      </c>
      <c r="D60" t="str" cm="1">
        <f t="array" ref="D60">_xlfn.IFS($C60=45,"Motor Vehicles &amp; Motorcycles",$C60=46,"Wholesale Trade",$C60=47,"Retail Trade")</f>
        <v>Retail Trade</v>
      </c>
      <c r="E60" s="16">
        <v>46512</v>
      </c>
      <c r="F60">
        <v>146</v>
      </c>
      <c r="G60">
        <v>142</v>
      </c>
      <c r="I60" s="40">
        <v>44774</v>
      </c>
      <c r="J60">
        <v>131</v>
      </c>
      <c r="K60">
        <v>169</v>
      </c>
      <c r="L60">
        <v>130</v>
      </c>
      <c r="M60">
        <v>143.333333333333</v>
      </c>
    </row>
    <row r="61" spans="1:13">
      <c r="A61" s="39">
        <v>43678</v>
      </c>
      <c r="B61" s="40">
        <f t="shared" si="0"/>
        <v>43678</v>
      </c>
      <c r="C61">
        <v>45</v>
      </c>
      <c r="D61" t="str" cm="1">
        <f t="array" ref="D61">_xlfn.IFS($C61=45,"Motor Vehicles &amp; Motorcycles",$C61=46,"Wholesale Trade",$C61=47,"Retail Trade")</f>
        <v>Motor Vehicles &amp; Motorcycles</v>
      </c>
      <c r="E61" s="16">
        <v>13619</v>
      </c>
      <c r="F61">
        <v>111</v>
      </c>
      <c r="G61">
        <v>106</v>
      </c>
      <c r="I61" s="40">
        <v>44805</v>
      </c>
      <c r="J61">
        <v>119</v>
      </c>
      <c r="K61">
        <v>175</v>
      </c>
      <c r="L61">
        <v>128</v>
      </c>
      <c r="M61">
        <v>140.666666666667</v>
      </c>
    </row>
    <row r="62" spans="1:13">
      <c r="A62" s="39">
        <v>43678</v>
      </c>
      <c r="B62" s="40">
        <f t="shared" si="0"/>
        <v>43678</v>
      </c>
      <c r="C62">
        <v>46</v>
      </c>
      <c r="D62" t="str" cm="1">
        <f t="array" ref="D62">_xlfn.IFS($C62=45,"Motor Vehicles &amp; Motorcycles",$C62=46,"Wholesale Trade",$C62=47,"Retail Trade")</f>
        <v>Wholesale Trade</v>
      </c>
      <c r="E62" s="16">
        <v>53984</v>
      </c>
      <c r="F62">
        <v>132</v>
      </c>
      <c r="G62">
        <v>131</v>
      </c>
      <c r="I62" s="40">
        <v>44835</v>
      </c>
      <c r="J62">
        <v>110</v>
      </c>
      <c r="K62">
        <v>167</v>
      </c>
      <c r="L62">
        <v>127</v>
      </c>
      <c r="M62">
        <v>134.666666666667</v>
      </c>
    </row>
    <row r="63" spans="1:13">
      <c r="A63" s="39">
        <v>43678</v>
      </c>
      <c r="B63" s="40">
        <f t="shared" si="0"/>
        <v>43678</v>
      </c>
      <c r="C63">
        <v>47</v>
      </c>
      <c r="D63" t="str" cm="1">
        <f t="array" ref="D63">_xlfn.IFS($C63=45,"Motor Vehicles &amp; Motorcycles",$C63=46,"Wholesale Trade",$C63=47,"Retail Trade")</f>
        <v>Retail Trade</v>
      </c>
      <c r="E63" s="16">
        <v>46466</v>
      </c>
      <c r="F63">
        <v>143</v>
      </c>
      <c r="G63">
        <v>142</v>
      </c>
      <c r="I63" s="40">
        <v>44866</v>
      </c>
      <c r="J63">
        <v>114</v>
      </c>
      <c r="K63">
        <v>168</v>
      </c>
      <c r="L63">
        <v>129</v>
      </c>
      <c r="M63">
        <v>137</v>
      </c>
    </row>
    <row r="64" spans="1:13">
      <c r="A64" s="39">
        <v>43709</v>
      </c>
      <c r="B64" s="40">
        <f t="shared" si="0"/>
        <v>43709</v>
      </c>
      <c r="C64">
        <v>45</v>
      </c>
      <c r="D64" t="str" cm="1">
        <f t="array" ref="D64">_xlfn.IFS($C64=45,"Motor Vehicles &amp; Motorcycles",$C64=46,"Wholesale Trade",$C64=47,"Retail Trade")</f>
        <v>Motor Vehicles &amp; Motorcycles</v>
      </c>
      <c r="E64" s="16">
        <v>11656</v>
      </c>
      <c r="F64">
        <v>97</v>
      </c>
      <c r="G64">
        <v>101</v>
      </c>
      <c r="I64" s="40">
        <v>44896</v>
      </c>
      <c r="J64">
        <v>116</v>
      </c>
      <c r="K64">
        <v>166</v>
      </c>
      <c r="L64">
        <v>129</v>
      </c>
      <c r="M64">
        <v>137</v>
      </c>
    </row>
    <row r="65" spans="1:13">
      <c r="A65" s="39">
        <v>43709</v>
      </c>
      <c r="B65" s="40">
        <f t="shared" si="0"/>
        <v>43709</v>
      </c>
      <c r="C65">
        <v>46</v>
      </c>
      <c r="D65" t="str" cm="1">
        <f t="array" ref="D65">_xlfn.IFS($C65=45,"Motor Vehicles &amp; Motorcycles",$C65=46,"Wholesale Trade",$C65=47,"Retail Trade")</f>
        <v>Wholesale Trade</v>
      </c>
      <c r="E65" s="16">
        <v>54839</v>
      </c>
      <c r="F65">
        <v>136</v>
      </c>
      <c r="G65">
        <v>131</v>
      </c>
      <c r="I65" s="40">
        <v>44927</v>
      </c>
      <c r="J65">
        <v>120</v>
      </c>
      <c r="K65">
        <v>165</v>
      </c>
      <c r="L65">
        <v>130</v>
      </c>
      <c r="M65">
        <v>138.333333333333</v>
      </c>
    </row>
    <row r="66" spans="1:13">
      <c r="A66" s="39">
        <v>43709</v>
      </c>
      <c r="B66" s="40">
        <f t="shared" si="0"/>
        <v>43709</v>
      </c>
      <c r="C66">
        <v>47</v>
      </c>
      <c r="D66" t="str" cm="1">
        <f t="array" ref="D66">_xlfn.IFS($C66=45,"Motor Vehicles &amp; Motorcycles",$C66=46,"Wholesale Trade",$C66=47,"Retail Trade")</f>
        <v>Retail Trade</v>
      </c>
      <c r="E66" s="16">
        <v>44126</v>
      </c>
      <c r="F66">
        <v>135</v>
      </c>
      <c r="G66">
        <v>141</v>
      </c>
      <c r="I66" s="40">
        <v>44958</v>
      </c>
      <c r="J66">
        <v>122</v>
      </c>
      <c r="K66">
        <v>169</v>
      </c>
      <c r="L66">
        <v>134</v>
      </c>
      <c r="M66">
        <v>141.666666666667</v>
      </c>
    </row>
    <row r="67" spans="1:13">
      <c r="A67" s="39">
        <v>43739</v>
      </c>
      <c r="B67" s="40">
        <f t="shared" si="0"/>
        <v>43739</v>
      </c>
      <c r="C67">
        <v>45</v>
      </c>
      <c r="D67" t="str" cm="1">
        <f t="array" ref="D67">_xlfn.IFS($C67=45,"Motor Vehicles &amp; Motorcycles",$C67=46,"Wholesale Trade",$C67=47,"Retail Trade")</f>
        <v>Motor Vehicles &amp; Motorcycles</v>
      </c>
      <c r="E67" s="16">
        <v>12584</v>
      </c>
      <c r="F67">
        <v>104</v>
      </c>
      <c r="G67">
        <v>105</v>
      </c>
      <c r="I67" s="40">
        <v>44986</v>
      </c>
      <c r="J67">
        <v>128</v>
      </c>
      <c r="K67">
        <v>173</v>
      </c>
      <c r="L67">
        <v>141</v>
      </c>
      <c r="M67">
        <v>147.333333333333</v>
      </c>
    </row>
    <row r="68" spans="1:13">
      <c r="A68" s="39">
        <v>43739</v>
      </c>
      <c r="B68" s="40">
        <f t="shared" si="0"/>
        <v>43739</v>
      </c>
      <c r="C68">
        <v>46</v>
      </c>
      <c r="D68" t="str" cm="1">
        <f t="array" ref="D68">_xlfn.IFS($C68=45,"Motor Vehicles &amp; Motorcycles",$C68=46,"Wholesale Trade",$C68=47,"Retail Trade")</f>
        <v>Wholesale Trade</v>
      </c>
      <c r="E68" s="16">
        <v>53890</v>
      </c>
      <c r="F68">
        <v>135</v>
      </c>
      <c r="G68">
        <v>131</v>
      </c>
      <c r="I68" s="40">
        <v>45017</v>
      </c>
      <c r="J68">
        <v>122</v>
      </c>
      <c r="K68">
        <v>174</v>
      </c>
      <c r="L68">
        <v>135</v>
      </c>
      <c r="M68">
        <v>143.666666666667</v>
      </c>
    </row>
    <row r="69" spans="1:13">
      <c r="A69" s="39">
        <v>43739</v>
      </c>
      <c r="B69" s="40">
        <f t="shared" ref="B69:B132" si="1">$A69</f>
        <v>43739</v>
      </c>
      <c r="C69">
        <v>47</v>
      </c>
      <c r="D69" t="str" cm="1">
        <f t="array" ref="D69">_xlfn.IFS($C69=45,"Motor Vehicles &amp; Motorcycles",$C69=46,"Wholesale Trade",$C69=47,"Retail Trade")</f>
        <v>Retail Trade</v>
      </c>
      <c r="E69" s="16">
        <v>44844</v>
      </c>
      <c r="F69">
        <v>139</v>
      </c>
      <c r="G69">
        <v>142</v>
      </c>
      <c r="I69" s="40">
        <v>45047</v>
      </c>
      <c r="J69">
        <v>157</v>
      </c>
      <c r="K69">
        <v>170</v>
      </c>
      <c r="L69">
        <v>139</v>
      </c>
      <c r="M69">
        <v>155.333333333333</v>
      </c>
    </row>
    <row r="70" spans="1:13">
      <c r="A70" s="39">
        <v>43770</v>
      </c>
      <c r="B70" s="40">
        <f t="shared" si="1"/>
        <v>43770</v>
      </c>
      <c r="C70">
        <v>45</v>
      </c>
      <c r="D70" t="str" cm="1">
        <f t="array" ref="D70">_xlfn.IFS($C70=45,"Motor Vehicles &amp; Motorcycles",$C70=46,"Wholesale Trade",$C70=47,"Retail Trade")</f>
        <v>Motor Vehicles &amp; Motorcycles</v>
      </c>
      <c r="E70" s="16">
        <v>12652</v>
      </c>
      <c r="F70">
        <v>105</v>
      </c>
      <c r="G70">
        <v>105</v>
      </c>
      <c r="I70" s="40">
        <v>45078</v>
      </c>
      <c r="J70">
        <v>142</v>
      </c>
      <c r="K70">
        <v>171</v>
      </c>
      <c r="L70">
        <v>140</v>
      </c>
      <c r="M70">
        <v>151</v>
      </c>
    </row>
    <row r="71" spans="1:13">
      <c r="A71" s="39">
        <v>43770</v>
      </c>
      <c r="B71" s="40">
        <f t="shared" si="1"/>
        <v>43770</v>
      </c>
      <c r="C71">
        <v>46</v>
      </c>
      <c r="D71" t="str" cm="1">
        <f t="array" ref="D71">_xlfn.IFS($C71=45,"Motor Vehicles &amp; Motorcycles",$C71=46,"Wholesale Trade",$C71=47,"Retail Trade")</f>
        <v>Wholesale Trade</v>
      </c>
      <c r="E71" s="16">
        <v>53167</v>
      </c>
      <c r="F71">
        <v>129</v>
      </c>
      <c r="G71">
        <v>131</v>
      </c>
      <c r="I71" s="40">
        <v>45108</v>
      </c>
      <c r="J71">
        <v>158</v>
      </c>
      <c r="K71">
        <v>173</v>
      </c>
      <c r="L71">
        <v>142</v>
      </c>
      <c r="M71">
        <v>157.666666666667</v>
      </c>
    </row>
    <row r="72" spans="1:13">
      <c r="A72" s="39">
        <v>43770</v>
      </c>
      <c r="B72" s="40">
        <f t="shared" si="1"/>
        <v>43770</v>
      </c>
      <c r="C72">
        <v>47</v>
      </c>
      <c r="D72" t="str" cm="1">
        <f t="array" ref="D72">_xlfn.IFS($C72=45,"Motor Vehicles &amp; Motorcycles",$C72=46,"Wholesale Trade",$C72=47,"Retail Trade")</f>
        <v>Retail Trade</v>
      </c>
      <c r="E72" s="16">
        <v>45879</v>
      </c>
      <c r="F72">
        <v>143</v>
      </c>
      <c r="G72">
        <v>143</v>
      </c>
      <c r="I72" s="40">
        <v>45139</v>
      </c>
      <c r="J72">
        <v>150</v>
      </c>
      <c r="K72">
        <v>173</v>
      </c>
      <c r="L72">
        <v>140</v>
      </c>
      <c r="M72">
        <v>154.333333333333</v>
      </c>
    </row>
    <row r="73" spans="1:13">
      <c r="A73" s="39">
        <v>43800</v>
      </c>
      <c r="B73" s="40">
        <f t="shared" si="1"/>
        <v>43800</v>
      </c>
      <c r="C73">
        <v>45</v>
      </c>
      <c r="D73" t="str" cm="1">
        <f t="array" ref="D73">_xlfn.IFS($C73=45,"Motor Vehicles &amp; Motorcycles",$C73=46,"Wholesale Trade",$C73=47,"Retail Trade")</f>
        <v>Motor Vehicles &amp; Motorcycles</v>
      </c>
      <c r="E73" s="16">
        <v>12435</v>
      </c>
      <c r="F73">
        <v>103</v>
      </c>
      <c r="G73">
        <v>104</v>
      </c>
      <c r="I73" s="40">
        <v>45170</v>
      </c>
      <c r="J73">
        <v>130</v>
      </c>
      <c r="K73">
        <v>175</v>
      </c>
      <c r="L73">
        <v>138</v>
      </c>
      <c r="M73">
        <v>147.666666666667</v>
      </c>
    </row>
    <row r="74" spans="1:13">
      <c r="A74" s="39">
        <v>43800</v>
      </c>
      <c r="B74" s="40">
        <f t="shared" si="1"/>
        <v>43800</v>
      </c>
      <c r="C74">
        <v>46</v>
      </c>
      <c r="D74" t="str" cm="1">
        <f t="array" ref="D74">_xlfn.IFS($C74=45,"Motor Vehicles &amp; Motorcycles",$C74=46,"Wholesale Trade",$C74=47,"Retail Trade")</f>
        <v>Wholesale Trade</v>
      </c>
      <c r="E74" s="16">
        <v>55602</v>
      </c>
      <c r="F74">
        <v>131</v>
      </c>
      <c r="G74">
        <v>132</v>
      </c>
      <c r="I74" s="40">
        <v>45200</v>
      </c>
      <c r="J74">
        <v>130</v>
      </c>
      <c r="K74">
        <v>172</v>
      </c>
      <c r="L74">
        <v>136</v>
      </c>
      <c r="M74">
        <v>146</v>
      </c>
    </row>
    <row r="75" spans="1:13">
      <c r="A75" s="39">
        <v>43800</v>
      </c>
      <c r="B75" s="40">
        <f t="shared" si="1"/>
        <v>43800</v>
      </c>
      <c r="C75">
        <v>47</v>
      </c>
      <c r="D75" t="str" cm="1">
        <f t="array" ref="D75">_xlfn.IFS($C75=45,"Motor Vehicles &amp; Motorcycles",$C75=46,"Wholesale Trade",$C75=47,"Retail Trade")</f>
        <v>Retail Trade</v>
      </c>
      <c r="E75" s="16">
        <v>47787</v>
      </c>
      <c r="F75">
        <v>150</v>
      </c>
      <c r="G75">
        <v>144</v>
      </c>
      <c r="I75" s="40">
        <v>45231</v>
      </c>
      <c r="J75">
        <v>124</v>
      </c>
      <c r="K75">
        <v>172</v>
      </c>
      <c r="L75">
        <v>137</v>
      </c>
      <c r="M75">
        <v>144.333333333333</v>
      </c>
    </row>
    <row r="76" spans="1:13">
      <c r="A76" s="39">
        <v>43831</v>
      </c>
      <c r="B76" s="40">
        <f t="shared" si="1"/>
        <v>43831</v>
      </c>
      <c r="C76">
        <v>45</v>
      </c>
      <c r="D76" t="str" cm="1">
        <f t="array" ref="D76">_xlfn.IFS($C76=45,"Motor Vehicles &amp; Motorcycles",$C76=46,"Wholesale Trade",$C76=47,"Retail Trade")</f>
        <v>Motor Vehicles &amp; Motorcycles</v>
      </c>
      <c r="E76" s="16">
        <v>12329</v>
      </c>
      <c r="F76">
        <v>104</v>
      </c>
      <c r="G76">
        <v>104</v>
      </c>
      <c r="I76" s="40">
        <v>45261</v>
      </c>
      <c r="J76">
        <v>121</v>
      </c>
      <c r="K76">
        <v>172</v>
      </c>
      <c r="L76">
        <v>137</v>
      </c>
      <c r="M76">
        <v>143.333333333333</v>
      </c>
    </row>
    <row r="77" spans="1:13">
      <c r="A77" s="39">
        <v>43831</v>
      </c>
      <c r="B77" s="40">
        <f t="shared" si="1"/>
        <v>43831</v>
      </c>
      <c r="C77">
        <v>46</v>
      </c>
      <c r="D77" t="str" cm="1">
        <f t="array" ref="D77">_xlfn.IFS($C77=45,"Motor Vehicles &amp; Motorcycles",$C77=46,"Wholesale Trade",$C77=47,"Retail Trade")</f>
        <v>Wholesale Trade</v>
      </c>
      <c r="E77" s="16">
        <v>55631</v>
      </c>
      <c r="F77">
        <v>132</v>
      </c>
      <c r="G77">
        <v>128</v>
      </c>
      <c r="I77" s="40">
        <v>45292</v>
      </c>
      <c r="J77">
        <v>134</v>
      </c>
      <c r="K77">
        <v>173</v>
      </c>
      <c r="L77">
        <v>138</v>
      </c>
      <c r="M77">
        <v>148.333333333333</v>
      </c>
    </row>
    <row r="78" spans="1:13">
      <c r="A78" s="39">
        <v>43831</v>
      </c>
      <c r="B78" s="40">
        <f t="shared" si="1"/>
        <v>43831</v>
      </c>
      <c r="C78">
        <v>47</v>
      </c>
      <c r="D78" t="str" cm="1">
        <f t="array" ref="D78">_xlfn.IFS($C78=45,"Motor Vehicles &amp; Motorcycles",$C78=46,"Wholesale Trade",$C78=47,"Retail Trade")</f>
        <v>Retail Trade</v>
      </c>
      <c r="E78" s="16">
        <v>46816</v>
      </c>
      <c r="F78">
        <v>148</v>
      </c>
      <c r="G78">
        <v>141</v>
      </c>
      <c r="I78" s="40">
        <v>45323</v>
      </c>
      <c r="J78">
        <v>130</v>
      </c>
      <c r="K78">
        <v>177</v>
      </c>
      <c r="L78">
        <v>140</v>
      </c>
      <c r="M78">
        <v>149</v>
      </c>
    </row>
    <row r="79" spans="1:13">
      <c r="A79" s="39">
        <v>43862</v>
      </c>
      <c r="B79" s="40">
        <f t="shared" si="1"/>
        <v>43862</v>
      </c>
      <c r="C79">
        <v>45</v>
      </c>
      <c r="D79" t="str" cm="1">
        <f t="array" ref="D79">_xlfn.IFS($C79=45,"Motor Vehicles &amp; Motorcycles",$C79=46,"Wholesale Trade",$C79=47,"Retail Trade")</f>
        <v>Motor Vehicles &amp; Motorcycles</v>
      </c>
      <c r="E79" s="16">
        <v>11164</v>
      </c>
      <c r="F79">
        <v>99</v>
      </c>
      <c r="G79">
        <v>102</v>
      </c>
      <c r="I79" s="40">
        <v>45352</v>
      </c>
      <c r="J79">
        <v>117</v>
      </c>
      <c r="K79">
        <v>178</v>
      </c>
      <c r="L79">
        <v>140</v>
      </c>
      <c r="M79">
        <v>145</v>
      </c>
    </row>
    <row r="80" spans="1:13">
      <c r="A80" s="39">
        <v>43862</v>
      </c>
      <c r="B80" s="40">
        <f t="shared" si="1"/>
        <v>43862</v>
      </c>
      <c r="C80">
        <v>46</v>
      </c>
      <c r="D80" t="str" cm="1">
        <f t="array" ref="D80">_xlfn.IFS($C80=45,"Motor Vehicles &amp; Motorcycles",$C80=46,"Wholesale Trade",$C80=47,"Retail Trade")</f>
        <v>Wholesale Trade</v>
      </c>
      <c r="E80" s="16">
        <v>52606</v>
      </c>
      <c r="F80">
        <v>125</v>
      </c>
      <c r="G80">
        <v>131</v>
      </c>
      <c r="I80" s="40">
        <v>45383</v>
      </c>
      <c r="J80">
        <v>120</v>
      </c>
      <c r="K80">
        <v>178</v>
      </c>
      <c r="L80">
        <v>139</v>
      </c>
      <c r="M80">
        <v>145.666666666667</v>
      </c>
    </row>
    <row r="81" spans="1:13">
      <c r="A81" s="39">
        <v>43862</v>
      </c>
      <c r="B81" s="40">
        <f t="shared" si="1"/>
        <v>43862</v>
      </c>
      <c r="C81">
        <v>47</v>
      </c>
      <c r="D81" t="str" cm="1">
        <f t="array" ref="D81">_xlfn.IFS($C81=45,"Motor Vehicles &amp; Motorcycles",$C81=46,"Wholesale Trade",$C81=47,"Retail Trade")</f>
        <v>Retail Trade</v>
      </c>
      <c r="E81" s="16">
        <v>45202</v>
      </c>
      <c r="F81">
        <v>141</v>
      </c>
      <c r="G81">
        <v>144</v>
      </c>
      <c r="I81" s="40">
        <v>45413</v>
      </c>
      <c r="J81">
        <v>169</v>
      </c>
      <c r="K81">
        <v>178</v>
      </c>
      <c r="L81">
        <v>142</v>
      </c>
      <c r="M81">
        <v>163</v>
      </c>
    </row>
    <row r="82" spans="1:13">
      <c r="A82" s="39">
        <v>43891</v>
      </c>
      <c r="B82" s="40">
        <f t="shared" si="1"/>
        <v>43891</v>
      </c>
      <c r="C82">
        <v>45</v>
      </c>
      <c r="D82" t="str" cm="1">
        <f t="array" ref="D82">_xlfn.IFS($C82=45,"Motor Vehicles &amp; Motorcycles",$C82=46,"Wholesale Trade",$C82=47,"Retail Trade")</f>
        <v>Motor Vehicles &amp; Motorcycles</v>
      </c>
      <c r="E82" s="16">
        <v>10672</v>
      </c>
      <c r="F82">
        <v>89</v>
      </c>
      <c r="G82">
        <v>85</v>
      </c>
      <c r="I82" s="40">
        <v>45444</v>
      </c>
      <c r="J82">
        <v>143</v>
      </c>
      <c r="K82">
        <v>180</v>
      </c>
      <c r="L82">
        <v>143</v>
      </c>
      <c r="M82">
        <v>155.333333333333</v>
      </c>
    </row>
    <row r="83" spans="1:13">
      <c r="A83" s="39">
        <v>43891</v>
      </c>
      <c r="B83" s="40">
        <f t="shared" si="1"/>
        <v>43891</v>
      </c>
      <c r="C83">
        <v>46</v>
      </c>
      <c r="D83" t="str" cm="1">
        <f t="array" ref="D83">_xlfn.IFS($C83=45,"Motor Vehicles &amp; Motorcycles",$C83=46,"Wholesale Trade",$C83=47,"Retail Trade")</f>
        <v>Wholesale Trade</v>
      </c>
      <c r="E83" s="16">
        <v>51777</v>
      </c>
      <c r="F83">
        <v>124</v>
      </c>
      <c r="G83">
        <v>125</v>
      </c>
      <c r="I83" s="40">
        <v>45474</v>
      </c>
      <c r="J83">
        <v>163</v>
      </c>
      <c r="K83">
        <v>180</v>
      </c>
      <c r="L83">
        <v>147</v>
      </c>
      <c r="M83">
        <v>163.333333333333</v>
      </c>
    </row>
    <row r="84" spans="1:13">
      <c r="A84" s="39">
        <v>43891</v>
      </c>
      <c r="B84" s="40">
        <f t="shared" si="1"/>
        <v>43891</v>
      </c>
      <c r="C84">
        <v>47</v>
      </c>
      <c r="D84" t="str" cm="1">
        <f t="array" ref="D84">_xlfn.IFS($C84=45,"Motor Vehicles &amp; Motorcycles",$C84=46,"Wholesale Trade",$C84=47,"Retail Trade")</f>
        <v>Retail Trade</v>
      </c>
      <c r="E84" s="16">
        <v>40732</v>
      </c>
      <c r="F84">
        <v>127</v>
      </c>
      <c r="G84">
        <v>128</v>
      </c>
      <c r="I84" s="40">
        <v>45505</v>
      </c>
      <c r="J84">
        <v>154</v>
      </c>
      <c r="K84">
        <v>182</v>
      </c>
      <c r="L84">
        <v>146</v>
      </c>
      <c r="M84">
        <v>160.666666666667</v>
      </c>
    </row>
    <row r="85" spans="1:13">
      <c r="A85" s="39">
        <v>43922</v>
      </c>
      <c r="B85" s="40">
        <f t="shared" si="1"/>
        <v>43922</v>
      </c>
      <c r="C85">
        <v>45</v>
      </c>
      <c r="D85" t="str" cm="1">
        <f t="array" ref="D85">_xlfn.IFS($C85=45,"Motor Vehicles &amp; Motorcycles",$C85=46,"Wholesale Trade",$C85=47,"Retail Trade")</f>
        <v>Motor Vehicles &amp; Motorcycles</v>
      </c>
      <c r="E85" s="16">
        <v>838</v>
      </c>
      <c r="F85">
        <v>6</v>
      </c>
      <c r="G85">
        <v>7</v>
      </c>
      <c r="I85" s="40">
        <v>45536</v>
      </c>
      <c r="J85">
        <v>136</v>
      </c>
      <c r="K85">
        <v>182</v>
      </c>
      <c r="L85">
        <v>146</v>
      </c>
      <c r="M85">
        <v>154.666666666667</v>
      </c>
    </row>
    <row r="86" spans="1:13">
      <c r="A86" s="39">
        <v>43922</v>
      </c>
      <c r="B86" s="40">
        <f t="shared" si="1"/>
        <v>43922</v>
      </c>
      <c r="C86">
        <v>46</v>
      </c>
      <c r="D86" t="str" cm="1">
        <f t="array" ref="D86">_xlfn.IFS($C86=45,"Motor Vehicles &amp; Motorcycles",$C86=46,"Wholesale Trade",$C86=47,"Retail Trade")</f>
        <v>Wholesale Trade</v>
      </c>
      <c r="E86" s="16">
        <v>37694</v>
      </c>
      <c r="F86">
        <v>88</v>
      </c>
      <c r="G86">
        <v>93</v>
      </c>
      <c r="I86" s="40">
        <v>45566</v>
      </c>
      <c r="J86">
        <v>134</v>
      </c>
      <c r="K86">
        <v>181</v>
      </c>
      <c r="L86">
        <v>146</v>
      </c>
      <c r="M86">
        <v>153.666666666667</v>
      </c>
    </row>
    <row r="87" spans="1:13">
      <c r="A87" s="39">
        <v>43922</v>
      </c>
      <c r="B87" s="40">
        <f t="shared" si="1"/>
        <v>43922</v>
      </c>
      <c r="C87">
        <v>47</v>
      </c>
      <c r="D87" t="str" cm="1">
        <f t="array" ref="D87">_xlfn.IFS($C87=45,"Motor Vehicles &amp; Motorcycles",$C87=46,"Wholesale Trade",$C87=47,"Retail Trade")</f>
        <v>Retail Trade</v>
      </c>
      <c r="E87" s="16">
        <v>28320</v>
      </c>
      <c r="F87">
        <v>83</v>
      </c>
      <c r="G87">
        <v>90</v>
      </c>
      <c r="I87" s="40">
        <v>45597</v>
      </c>
      <c r="J87">
        <v>125</v>
      </c>
      <c r="K87">
        <v>180</v>
      </c>
      <c r="L87">
        <v>145</v>
      </c>
      <c r="M87">
        <v>150</v>
      </c>
    </row>
    <row r="88" spans="1:13">
      <c r="A88" s="39">
        <v>43952</v>
      </c>
      <c r="B88" s="40">
        <f t="shared" si="1"/>
        <v>43952</v>
      </c>
      <c r="C88">
        <v>45</v>
      </c>
      <c r="D88" t="str" cm="1">
        <f t="array" ref="D88">_xlfn.IFS($C88=45,"Motor Vehicles &amp; Motorcycles",$C88=46,"Wholesale Trade",$C88=47,"Retail Trade")</f>
        <v>Motor Vehicles &amp; Motorcycles</v>
      </c>
      <c r="E88" s="16">
        <v>6777</v>
      </c>
      <c r="F88">
        <v>55</v>
      </c>
      <c r="G88">
        <v>60</v>
      </c>
      <c r="I88" s="40">
        <v>45627</v>
      </c>
      <c r="J88">
        <v>129</v>
      </c>
      <c r="K88">
        <v>181</v>
      </c>
      <c r="L88">
        <v>145</v>
      </c>
      <c r="M88">
        <v>151.666666666667</v>
      </c>
    </row>
    <row r="89" spans="1:13">
      <c r="A89" s="39">
        <v>43952</v>
      </c>
      <c r="B89" s="40">
        <f t="shared" si="1"/>
        <v>43952</v>
      </c>
      <c r="C89">
        <v>46</v>
      </c>
      <c r="D89" t="str" cm="1">
        <f t="array" ref="D89">_xlfn.IFS($C89=45,"Motor Vehicles &amp; Motorcycles",$C89=46,"Wholesale Trade",$C89=47,"Retail Trade")</f>
        <v>Wholesale Trade</v>
      </c>
      <c r="E89" s="16">
        <v>40710</v>
      </c>
      <c r="F89">
        <v>99</v>
      </c>
      <c r="G89">
        <v>101</v>
      </c>
      <c r="I89" s="40">
        <v>45658</v>
      </c>
      <c r="J89">
        <v>117</v>
      </c>
      <c r="K89">
        <v>185</v>
      </c>
      <c r="L89">
        <v>146</v>
      </c>
      <c r="M89">
        <v>149.333333333333</v>
      </c>
    </row>
    <row r="90" spans="1:13">
      <c r="A90" s="39">
        <v>43952</v>
      </c>
      <c r="B90" s="40">
        <f t="shared" si="1"/>
        <v>43952</v>
      </c>
      <c r="C90">
        <v>47</v>
      </c>
      <c r="D90" t="str" cm="1">
        <f t="array" ref="D90">_xlfn.IFS($C90=45,"Motor Vehicles &amp; Motorcycles",$C90=46,"Wholesale Trade",$C90=47,"Retail Trade")</f>
        <v>Retail Trade</v>
      </c>
      <c r="E90" s="16">
        <v>36953</v>
      </c>
      <c r="F90">
        <v>110</v>
      </c>
      <c r="G90">
        <v>119</v>
      </c>
      <c r="I90" s="40">
        <v>45689</v>
      </c>
      <c r="J90">
        <v>129</v>
      </c>
      <c r="K90">
        <v>181</v>
      </c>
      <c r="L90">
        <v>144</v>
      </c>
      <c r="M90">
        <v>151.333333333333</v>
      </c>
    </row>
    <row r="91" spans="1:13">
      <c r="A91" s="39">
        <v>43983</v>
      </c>
      <c r="B91" s="40">
        <f t="shared" si="1"/>
        <v>43983</v>
      </c>
      <c r="C91">
        <v>45</v>
      </c>
      <c r="D91" t="str" cm="1">
        <f t="array" ref="D91">_xlfn.IFS($C91=45,"Motor Vehicles &amp; Motorcycles",$C91=46,"Wholesale Trade",$C91=47,"Retail Trade")</f>
        <v>Motor Vehicles &amp; Motorcycles</v>
      </c>
      <c r="E91" s="16">
        <v>12124</v>
      </c>
      <c r="F91">
        <v>104</v>
      </c>
      <c r="G91">
        <v>108</v>
      </c>
      <c r="I91" s="40">
        <v>45717</v>
      </c>
      <c r="J91">
        <v>141</v>
      </c>
      <c r="K91">
        <v>186</v>
      </c>
      <c r="L91">
        <v>148</v>
      </c>
      <c r="M91">
        <v>158.333333333333</v>
      </c>
    </row>
    <row r="92" spans="1:13">
      <c r="A92" s="39">
        <v>43983</v>
      </c>
      <c r="B92" s="40">
        <f t="shared" si="1"/>
        <v>43983</v>
      </c>
      <c r="C92">
        <v>46</v>
      </c>
      <c r="D92" t="str" cm="1">
        <f t="array" ref="D92">_xlfn.IFS($C92=45,"Motor Vehicles &amp; Motorcycles",$C92=46,"Wholesale Trade",$C92=47,"Retail Trade")</f>
        <v>Wholesale Trade</v>
      </c>
      <c r="E92" s="16">
        <v>48972</v>
      </c>
      <c r="F92">
        <v>120</v>
      </c>
      <c r="G92">
        <v>123</v>
      </c>
      <c r="I92" s="40">
        <v>45748</v>
      </c>
      <c r="J92">
        <v>130</v>
      </c>
      <c r="K92">
        <v>185</v>
      </c>
      <c r="L92">
        <v>148</v>
      </c>
      <c r="M92">
        <v>154.333333333333</v>
      </c>
    </row>
    <row r="93" spans="1:13">
      <c r="A93" s="39">
        <v>43983</v>
      </c>
      <c r="B93" s="40">
        <f t="shared" si="1"/>
        <v>43983</v>
      </c>
      <c r="C93">
        <v>47</v>
      </c>
      <c r="D93" t="str" cm="1">
        <f t="array" ref="D93">_xlfn.IFS($C93=45,"Motor Vehicles &amp; Motorcycles",$C93=46,"Wholesale Trade",$C93=47,"Retail Trade")</f>
        <v>Retail Trade</v>
      </c>
      <c r="E93" s="16">
        <v>41774</v>
      </c>
      <c r="F93">
        <v>130</v>
      </c>
      <c r="G93">
        <v>127</v>
      </c>
      <c r="I93" s="40">
        <v>45778</v>
      </c>
      <c r="J93">
        <v>141</v>
      </c>
      <c r="K93">
        <v>186</v>
      </c>
      <c r="L93">
        <v>150</v>
      </c>
      <c r="M93">
        <v>159</v>
      </c>
    </row>
    <row r="94" spans="1:13">
      <c r="A94" s="39">
        <v>44013</v>
      </c>
      <c r="B94" s="40">
        <f t="shared" si="1"/>
        <v>44013</v>
      </c>
      <c r="C94">
        <v>45</v>
      </c>
      <c r="D94" t="str" cm="1">
        <f t="array" ref="D94">_xlfn.IFS($C94=45,"Motor Vehicles &amp; Motorcycles",$C94=46,"Wholesale Trade",$C94=47,"Retail Trade")</f>
        <v>Motor Vehicles &amp; Motorcycles</v>
      </c>
      <c r="E94" s="16">
        <v>13860</v>
      </c>
      <c r="F94">
        <v>117</v>
      </c>
      <c r="G94">
        <v>110</v>
      </c>
      <c r="I94" s="40">
        <v>45809</v>
      </c>
      <c r="J94">
        <v>126</v>
      </c>
      <c r="K94">
        <v>187</v>
      </c>
      <c r="L94">
        <v>151</v>
      </c>
      <c r="M94">
        <v>154.666666666667</v>
      </c>
    </row>
    <row r="95" spans="1:13">
      <c r="A95" s="39">
        <v>44013</v>
      </c>
      <c r="B95" s="40">
        <f t="shared" si="1"/>
        <v>44013</v>
      </c>
      <c r="C95">
        <v>46</v>
      </c>
      <c r="D95" t="str" cm="1">
        <f t="array" ref="D95">_xlfn.IFS($C95=45,"Motor Vehicles &amp; Motorcycles",$C95=46,"Wholesale Trade",$C95=47,"Retail Trade")</f>
        <v>Wholesale Trade</v>
      </c>
      <c r="E95" s="16">
        <v>50047</v>
      </c>
      <c r="F95">
        <v>122</v>
      </c>
      <c r="G95">
        <v>127</v>
      </c>
      <c r="I95" s="40">
        <v>45839</v>
      </c>
      <c r="J95">
        <v>142</v>
      </c>
      <c r="K95">
        <v>186</v>
      </c>
      <c r="L95">
        <v>155</v>
      </c>
      <c r="M95">
        <v>161</v>
      </c>
    </row>
    <row r="96" spans="1:13">
      <c r="A96" s="39">
        <v>44013</v>
      </c>
      <c r="B96" s="40">
        <f t="shared" si="1"/>
        <v>44013</v>
      </c>
      <c r="C96">
        <v>47</v>
      </c>
      <c r="D96" t="str" cm="1">
        <f t="array" ref="D96">_xlfn.IFS($C96=45,"Motor Vehicles &amp; Motorcycles",$C96=46,"Wholesale Trade",$C96=47,"Retail Trade")</f>
        <v>Retail Trade</v>
      </c>
      <c r="E96" s="16">
        <v>44746</v>
      </c>
      <c r="F96">
        <v>139</v>
      </c>
      <c r="G96">
        <v>135</v>
      </c>
      <c r="I96" s="40">
        <v>45870</v>
      </c>
      <c r="J96">
        <v>144</v>
      </c>
      <c r="K96">
        <v>186</v>
      </c>
      <c r="L96">
        <v>154</v>
      </c>
      <c r="M96">
        <v>161.333333333333</v>
      </c>
    </row>
    <row r="97" spans="1:13">
      <c r="A97" s="39">
        <v>44044</v>
      </c>
      <c r="B97" s="40">
        <f t="shared" si="1"/>
        <v>44044</v>
      </c>
      <c r="C97">
        <v>45</v>
      </c>
      <c r="D97" t="str" cm="1">
        <f t="array" ref="D97">_xlfn.IFS($C97=45,"Motor Vehicles &amp; Motorcycles",$C97=46,"Wholesale Trade",$C97=47,"Retail Trade")</f>
        <v>Motor Vehicles &amp; Motorcycles</v>
      </c>
      <c r="E97" s="16">
        <v>13757</v>
      </c>
      <c r="F97">
        <v>112</v>
      </c>
      <c r="G97">
        <v>110</v>
      </c>
      <c r="I97" s="40">
        <v>45901</v>
      </c>
      <c r="J97">
        <v>132</v>
      </c>
      <c r="K97">
        <v>190</v>
      </c>
      <c r="L97">
        <v>156</v>
      </c>
      <c r="M97">
        <v>159.333333333333</v>
      </c>
    </row>
    <row r="98" spans="1:13">
      <c r="A98" s="39">
        <v>44044</v>
      </c>
      <c r="B98" s="40">
        <f t="shared" si="1"/>
        <v>44044</v>
      </c>
      <c r="C98">
        <v>46</v>
      </c>
      <c r="D98" t="str" cm="1">
        <f t="array" ref="D98">_xlfn.IFS($C98=45,"Motor Vehicles &amp; Motorcycles",$C98=46,"Wholesale Trade",$C98=47,"Retail Trade")</f>
        <v>Wholesale Trade</v>
      </c>
      <c r="E98" s="16">
        <v>51889</v>
      </c>
      <c r="F98">
        <v>127</v>
      </c>
      <c r="G98">
        <v>125</v>
      </c>
      <c r="I98" s="40">
        <v>45931</v>
      </c>
      <c r="J98">
        <v>149</v>
      </c>
      <c r="K98">
        <v>190</v>
      </c>
      <c r="L98">
        <v>157</v>
      </c>
      <c r="M98">
        <v>165.333333333333</v>
      </c>
    </row>
    <row r="99" spans="1:13">
      <c r="A99" s="39">
        <v>44044</v>
      </c>
      <c r="B99" s="40">
        <f t="shared" si="1"/>
        <v>44044</v>
      </c>
      <c r="C99">
        <v>47</v>
      </c>
      <c r="D99" t="str" cm="1">
        <f t="array" ref="D99">_xlfn.IFS($C99=45,"Motor Vehicles &amp; Motorcycles",$C99=46,"Wholesale Trade",$C99=47,"Retail Trade")</f>
        <v>Retail Trade</v>
      </c>
      <c r="E99" s="16">
        <v>45775</v>
      </c>
      <c r="F99">
        <v>139</v>
      </c>
      <c r="G99">
        <v>137</v>
      </c>
      <c r="I99" s="40">
        <v>45962</v>
      </c>
      <c r="J99">
        <v>144</v>
      </c>
      <c r="K99">
        <v>190</v>
      </c>
      <c r="L99">
        <v>154</v>
      </c>
      <c r="M99">
        <v>162.666666666667</v>
      </c>
    </row>
    <row r="100" spans="1:13">
      <c r="A100" s="39">
        <v>44075</v>
      </c>
      <c r="B100" s="40">
        <f t="shared" si="1"/>
        <v>44075</v>
      </c>
      <c r="C100">
        <v>45</v>
      </c>
      <c r="D100" t="str" cm="1">
        <f t="array" ref="D100">_xlfn.IFS($C100=45,"Motor Vehicles &amp; Motorcycles",$C100=46,"Wholesale Trade",$C100=47,"Retail Trade")</f>
        <v>Motor Vehicles &amp; Motorcycles</v>
      </c>
      <c r="E100" s="16">
        <v>13648</v>
      </c>
      <c r="F100">
        <v>112</v>
      </c>
      <c r="G100">
        <v>113</v>
      </c>
      <c r="I100" s="40">
        <v>45992</v>
      </c>
      <c r="J100">
        <v>162</v>
      </c>
      <c r="K100">
        <v>193</v>
      </c>
      <c r="L100">
        <v>156</v>
      </c>
      <c r="M100">
        <v>170.333333333333</v>
      </c>
    </row>
    <row r="101" spans="1:13">
      <c r="A101" s="39">
        <v>44075</v>
      </c>
      <c r="B101" s="40">
        <f t="shared" si="1"/>
        <v>44075</v>
      </c>
      <c r="C101">
        <v>46</v>
      </c>
      <c r="D101" t="str" cm="1">
        <f t="array" ref="D101">_xlfn.IFS($C101=45,"Motor Vehicles &amp; Motorcycles",$C101=46,"Wholesale Trade",$C101=47,"Retail Trade")</f>
        <v>Wholesale Trade</v>
      </c>
      <c r="E101" s="16">
        <v>52519</v>
      </c>
      <c r="F101">
        <v>132</v>
      </c>
      <c r="G101">
        <v>125</v>
      </c>
      <c r="I101" s="40">
        <v>46023</v>
      </c>
      <c r="J101">
        <v>136</v>
      </c>
      <c r="K101">
        <v>192</v>
      </c>
      <c r="L101">
        <v>155</v>
      </c>
      <c r="M101">
        <v>161</v>
      </c>
    </row>
    <row r="102" spans="1:13">
      <c r="A102" s="39">
        <v>44075</v>
      </c>
      <c r="B102" s="40">
        <f t="shared" si="1"/>
        <v>44075</v>
      </c>
      <c r="C102">
        <v>47</v>
      </c>
      <c r="D102" t="str" cm="1">
        <f t="array" ref="D102">_xlfn.IFS($C102=45,"Motor Vehicles &amp; Motorcycles",$C102=46,"Wholesale Trade",$C102=47,"Retail Trade")</f>
        <v>Retail Trade</v>
      </c>
      <c r="E102" s="16">
        <v>44826</v>
      </c>
      <c r="F102">
        <v>136</v>
      </c>
      <c r="G102">
        <v>138</v>
      </c>
      <c r="I102" s="40">
        <v>46054</v>
      </c>
      <c r="J102">
        <v>121</v>
      </c>
      <c r="K102">
        <v>191</v>
      </c>
      <c r="L102">
        <v>153</v>
      </c>
      <c r="M102">
        <v>155</v>
      </c>
    </row>
    <row r="103" spans="1:13">
      <c r="A103" s="39">
        <v>44105</v>
      </c>
      <c r="B103" s="40">
        <f t="shared" si="1"/>
        <v>44105</v>
      </c>
      <c r="C103">
        <v>45</v>
      </c>
      <c r="D103" t="str" cm="1">
        <f t="array" ref="D103">_xlfn.IFS($C103=45,"Motor Vehicles &amp; Motorcycles",$C103=46,"Wholesale Trade",$C103=47,"Retail Trade")</f>
        <v>Motor Vehicles &amp; Motorcycles</v>
      </c>
      <c r="E103" s="16">
        <v>12859</v>
      </c>
      <c r="F103">
        <v>105</v>
      </c>
      <c r="G103">
        <v>101</v>
      </c>
      <c r="I103" s="40">
        <v>46082</v>
      </c>
      <c r="J103">
        <v>135</v>
      </c>
      <c r="K103">
        <v>196</v>
      </c>
      <c r="L103">
        <v>157</v>
      </c>
      <c r="M103">
        <v>162.666666666667</v>
      </c>
    </row>
    <row r="104" spans="1:13">
      <c r="A104" s="39">
        <v>44105</v>
      </c>
      <c r="B104" s="40">
        <f t="shared" si="1"/>
        <v>44105</v>
      </c>
      <c r="C104">
        <v>46</v>
      </c>
      <c r="D104" t="str" cm="1">
        <f t="array" ref="D104">_xlfn.IFS($C104=45,"Motor Vehicles &amp; Motorcycles",$C104=46,"Wholesale Trade",$C104=47,"Retail Trade")</f>
        <v>Wholesale Trade</v>
      </c>
      <c r="E104" s="16">
        <v>53405</v>
      </c>
      <c r="F104">
        <v>133</v>
      </c>
      <c r="G104">
        <v>127</v>
      </c>
      <c r="I104" s="40">
        <v>46113</v>
      </c>
      <c r="J104">
        <v>148</v>
      </c>
      <c r="K104">
        <v>192</v>
      </c>
      <c r="L104">
        <v>159</v>
      </c>
      <c r="M104">
        <v>166.333333333333</v>
      </c>
    </row>
    <row r="105" spans="1:13">
      <c r="A105" s="39">
        <v>44105</v>
      </c>
      <c r="B105" s="40">
        <f t="shared" si="1"/>
        <v>44105</v>
      </c>
      <c r="C105">
        <v>47</v>
      </c>
      <c r="D105" t="str" cm="1">
        <f t="array" ref="D105">_xlfn.IFS($C105=45,"Motor Vehicles &amp; Motorcycles",$C105=46,"Wholesale Trade",$C105=47,"Retail Trade")</f>
        <v>Retail Trade</v>
      </c>
      <c r="E105" s="16">
        <v>44188</v>
      </c>
      <c r="F105">
        <v>136</v>
      </c>
      <c r="G105">
        <v>135</v>
      </c>
      <c r="I105" s="40">
        <v>46143</v>
      </c>
      <c r="J105">
        <v>135</v>
      </c>
      <c r="K105">
        <v>194</v>
      </c>
      <c r="L105">
        <v>155</v>
      </c>
      <c r="M105">
        <v>161.333333333333</v>
      </c>
    </row>
    <row r="106" spans="1:13">
      <c r="A106" s="39">
        <v>44136</v>
      </c>
      <c r="B106" s="40">
        <f t="shared" si="1"/>
        <v>44136</v>
      </c>
      <c r="C106">
        <v>45</v>
      </c>
      <c r="D106" t="str" cm="1">
        <f t="array" ref="D106">_xlfn.IFS($C106=45,"Motor Vehicles &amp; Motorcycles",$C106=46,"Wholesale Trade",$C106=47,"Retail Trade")</f>
        <v>Motor Vehicles &amp; Motorcycles</v>
      </c>
      <c r="E106" s="16">
        <v>12797</v>
      </c>
      <c r="F106">
        <v>106</v>
      </c>
      <c r="G106">
        <v>102</v>
      </c>
      <c r="I106" s="40">
        <v>46174</v>
      </c>
      <c r="J106">
        <v>143</v>
      </c>
      <c r="K106">
        <v>195</v>
      </c>
      <c r="L106">
        <v>157</v>
      </c>
      <c r="M106">
        <v>165</v>
      </c>
    </row>
    <row r="107" spans="1:13">
      <c r="A107" s="39">
        <v>44136</v>
      </c>
      <c r="B107" s="40">
        <f t="shared" si="1"/>
        <v>44136</v>
      </c>
      <c r="C107">
        <v>46</v>
      </c>
      <c r="D107" t="str" cm="1">
        <f t="array" ref="D107">_xlfn.IFS($C107=45,"Motor Vehicles &amp; Motorcycles",$C107=46,"Wholesale Trade",$C107=47,"Retail Trade")</f>
        <v>Wholesale Trade</v>
      </c>
      <c r="E107" s="16">
        <v>52771</v>
      </c>
      <c r="F107">
        <v>129</v>
      </c>
      <c r="G107">
        <v>127</v>
      </c>
      <c r="I107" t="s">
        <v>10</v>
      </c>
      <c r="J107">
        <v>115.156862745098</v>
      </c>
      <c r="K107">
        <v>156.941176470588</v>
      </c>
      <c r="L107">
        <v>134.225490196078</v>
      </c>
      <c r="M107">
        <v>135.441176470588</v>
      </c>
    </row>
    <row r="108" spans="1:7">
      <c r="A108" s="39">
        <v>44136</v>
      </c>
      <c r="B108" s="40">
        <f t="shared" si="1"/>
        <v>44136</v>
      </c>
      <c r="C108">
        <v>47</v>
      </c>
      <c r="D108" t="str" cm="1">
        <f t="array" ref="D108">_xlfn.IFS($C108=45,"Motor Vehicles &amp; Motorcycles",$C108=46,"Wholesale Trade",$C108=47,"Retail Trade")</f>
        <v>Retail Trade</v>
      </c>
      <c r="E108" s="16">
        <v>44827</v>
      </c>
      <c r="F108">
        <v>139</v>
      </c>
      <c r="G108">
        <v>135</v>
      </c>
    </row>
    <row r="109" spans="1:7">
      <c r="A109" s="39">
        <v>44166</v>
      </c>
      <c r="B109" s="40">
        <f t="shared" si="1"/>
        <v>44166</v>
      </c>
      <c r="C109">
        <v>45</v>
      </c>
      <c r="D109" t="str" cm="1">
        <f t="array" ref="D109">_xlfn.IFS($C109=45,"Motor Vehicles &amp; Motorcycles",$C109=46,"Wholesale Trade",$C109=47,"Retail Trade")</f>
        <v>Motor Vehicles &amp; Motorcycles</v>
      </c>
      <c r="E109" s="16">
        <v>14269</v>
      </c>
      <c r="F109">
        <v>118</v>
      </c>
      <c r="G109">
        <v>110</v>
      </c>
    </row>
    <row r="110" spans="1:7">
      <c r="A110" s="39">
        <v>44166</v>
      </c>
      <c r="B110" s="40">
        <f t="shared" si="1"/>
        <v>44166</v>
      </c>
      <c r="C110">
        <v>46</v>
      </c>
      <c r="D110" t="str" cm="1">
        <f t="array" ref="D110">_xlfn.IFS($C110=45,"Motor Vehicles &amp; Motorcycles",$C110=46,"Wholesale Trade",$C110=47,"Retail Trade")</f>
        <v>Wholesale Trade</v>
      </c>
      <c r="E110" s="16">
        <v>55290</v>
      </c>
      <c r="F110">
        <v>131</v>
      </c>
      <c r="G110">
        <v>128</v>
      </c>
    </row>
    <row r="111" spans="1:7">
      <c r="A111" s="39">
        <v>44166</v>
      </c>
      <c r="B111" s="40">
        <f t="shared" si="1"/>
        <v>44166</v>
      </c>
      <c r="C111">
        <v>47</v>
      </c>
      <c r="D111" t="str" cm="1">
        <f t="array" ref="D111">_xlfn.IFS($C111=45,"Motor Vehicles &amp; Motorcycles",$C111=46,"Wholesale Trade",$C111=47,"Retail Trade")</f>
        <v>Retail Trade</v>
      </c>
      <c r="E111" s="16">
        <v>46849</v>
      </c>
      <c r="F111">
        <v>145</v>
      </c>
      <c r="G111">
        <v>137</v>
      </c>
    </row>
    <row r="112" spans="1:7">
      <c r="A112" s="39">
        <v>44197</v>
      </c>
      <c r="B112" s="40">
        <f t="shared" si="1"/>
        <v>44197</v>
      </c>
      <c r="C112">
        <v>45</v>
      </c>
      <c r="D112" t="str" cm="1">
        <f t="array" ref="D112">_xlfn.IFS($C112=45,"Motor Vehicles &amp; Motorcycles",$C112=46,"Wholesale Trade",$C112=47,"Retail Trade")</f>
        <v>Motor Vehicles &amp; Motorcycles</v>
      </c>
      <c r="E112" s="16">
        <v>10802</v>
      </c>
      <c r="F112">
        <v>95</v>
      </c>
      <c r="G112">
        <v>90</v>
      </c>
    </row>
    <row r="113" spans="1:7">
      <c r="A113" s="39">
        <v>44197</v>
      </c>
      <c r="B113" s="40">
        <f t="shared" si="1"/>
        <v>44197</v>
      </c>
      <c r="C113">
        <v>46</v>
      </c>
      <c r="D113" t="str" cm="1">
        <f t="array" ref="D113">_xlfn.IFS($C113=45,"Motor Vehicles &amp; Motorcycles",$C113=46,"Wholesale Trade",$C113=47,"Retail Trade")</f>
        <v>Wholesale Trade</v>
      </c>
      <c r="E113" s="16">
        <v>55415</v>
      </c>
      <c r="F113">
        <v>132</v>
      </c>
      <c r="G113">
        <v>128</v>
      </c>
    </row>
    <row r="114" spans="1:7">
      <c r="A114" s="39">
        <v>44197</v>
      </c>
      <c r="B114" s="40">
        <f t="shared" si="1"/>
        <v>44197</v>
      </c>
      <c r="C114">
        <v>47</v>
      </c>
      <c r="D114" t="str" cm="1">
        <f t="array" ref="D114">_xlfn.IFS($C114=45,"Motor Vehicles &amp; Motorcycles",$C114=46,"Wholesale Trade",$C114=47,"Retail Trade")</f>
        <v>Retail Trade</v>
      </c>
      <c r="E114" s="16">
        <v>45629</v>
      </c>
      <c r="F114">
        <v>143</v>
      </c>
      <c r="G114">
        <v>136</v>
      </c>
    </row>
    <row r="115" spans="1:7">
      <c r="A115" s="39">
        <v>44228</v>
      </c>
      <c r="B115" s="40">
        <f t="shared" si="1"/>
        <v>44228</v>
      </c>
      <c r="C115">
        <v>45</v>
      </c>
      <c r="D115" t="str" cm="1">
        <f t="array" ref="D115">_xlfn.IFS($C115=45,"Motor Vehicles &amp; Motorcycles",$C115=46,"Wholesale Trade",$C115=47,"Retail Trade")</f>
        <v>Motor Vehicles &amp; Motorcycles</v>
      </c>
      <c r="E115" s="16">
        <v>11159</v>
      </c>
      <c r="F115">
        <v>98</v>
      </c>
      <c r="G115">
        <v>100</v>
      </c>
    </row>
    <row r="116" spans="1:7">
      <c r="A116" s="39">
        <v>44228</v>
      </c>
      <c r="B116" s="40">
        <f t="shared" si="1"/>
        <v>44228</v>
      </c>
      <c r="C116">
        <v>46</v>
      </c>
      <c r="D116" t="str" cm="1">
        <f t="array" ref="D116">_xlfn.IFS($C116=45,"Motor Vehicles &amp; Motorcycles",$C116=46,"Wholesale Trade",$C116=47,"Retail Trade")</f>
        <v>Wholesale Trade</v>
      </c>
      <c r="E116" s="16">
        <v>52576</v>
      </c>
      <c r="F116">
        <v>125</v>
      </c>
      <c r="G116">
        <v>131</v>
      </c>
    </row>
    <row r="117" spans="1:7">
      <c r="A117" s="39">
        <v>44228</v>
      </c>
      <c r="B117" s="40">
        <f t="shared" si="1"/>
        <v>44228</v>
      </c>
      <c r="C117">
        <v>47</v>
      </c>
      <c r="D117" t="str" cm="1">
        <f t="array" ref="D117">_xlfn.IFS($C117=45,"Motor Vehicles &amp; Motorcycles",$C117=46,"Wholesale Trade",$C117=47,"Retail Trade")</f>
        <v>Retail Trade</v>
      </c>
      <c r="E117" s="16">
        <v>44274</v>
      </c>
      <c r="F117">
        <v>139</v>
      </c>
      <c r="G117">
        <v>140</v>
      </c>
    </row>
    <row r="118" spans="1:7">
      <c r="A118" s="39">
        <v>44256</v>
      </c>
      <c r="B118" s="40">
        <f t="shared" si="1"/>
        <v>44256</v>
      </c>
      <c r="C118">
        <v>45</v>
      </c>
      <c r="D118" t="str" cm="1">
        <f t="array" ref="D118">_xlfn.IFS($C118=45,"Motor Vehicles &amp; Motorcycles",$C118=46,"Wholesale Trade",$C118=47,"Retail Trade")</f>
        <v>Motor Vehicles &amp; Motorcycles</v>
      </c>
      <c r="E118" s="16">
        <v>15016</v>
      </c>
      <c r="F118">
        <v>124</v>
      </c>
      <c r="G118">
        <v>110</v>
      </c>
    </row>
    <row r="119" spans="1:7">
      <c r="A119" s="39">
        <v>44256</v>
      </c>
      <c r="B119" s="40">
        <f t="shared" si="1"/>
        <v>44256</v>
      </c>
      <c r="C119">
        <v>46</v>
      </c>
      <c r="D119" t="str" cm="1">
        <f t="array" ref="D119">_xlfn.IFS($C119=45,"Motor Vehicles &amp; Motorcycles",$C119=46,"Wholesale Trade",$C119=47,"Retail Trade")</f>
        <v>Wholesale Trade</v>
      </c>
      <c r="E119" s="16">
        <v>52729</v>
      </c>
      <c r="F119">
        <v>126</v>
      </c>
      <c r="G119">
        <v>129</v>
      </c>
    </row>
    <row r="120" spans="1:7">
      <c r="A120" s="39">
        <v>44256</v>
      </c>
      <c r="B120" s="40">
        <f t="shared" si="1"/>
        <v>44256</v>
      </c>
      <c r="C120">
        <v>47</v>
      </c>
      <c r="D120" t="str" cm="1">
        <f t="array" ref="D120">_xlfn.IFS($C120=45,"Motor Vehicles &amp; Motorcycles",$C120=46,"Wholesale Trade",$C120=47,"Retail Trade")</f>
        <v>Retail Trade</v>
      </c>
      <c r="E120" s="16">
        <v>44990</v>
      </c>
      <c r="F120">
        <v>138</v>
      </c>
      <c r="G120">
        <v>141</v>
      </c>
    </row>
    <row r="121" spans="1:7">
      <c r="A121" s="39">
        <v>44287</v>
      </c>
      <c r="B121" s="40">
        <f t="shared" si="1"/>
        <v>44287</v>
      </c>
      <c r="C121">
        <v>45</v>
      </c>
      <c r="D121" t="str" cm="1">
        <f t="array" ref="D121">_xlfn.IFS($C121=45,"Motor Vehicles &amp; Motorcycles",$C121=46,"Wholesale Trade",$C121=47,"Retail Trade")</f>
        <v>Motor Vehicles &amp; Motorcycles</v>
      </c>
      <c r="E121" s="16">
        <v>13834</v>
      </c>
      <c r="F121">
        <v>113</v>
      </c>
      <c r="G121">
        <v>129</v>
      </c>
    </row>
    <row r="122" spans="1:7">
      <c r="A122" s="39">
        <v>44287</v>
      </c>
      <c r="B122" s="40">
        <f t="shared" si="1"/>
        <v>44287</v>
      </c>
      <c r="C122">
        <v>46</v>
      </c>
      <c r="D122" t="str" cm="1">
        <f t="array" ref="D122">_xlfn.IFS($C122=45,"Motor Vehicles &amp; Motorcycles",$C122=46,"Wholesale Trade",$C122=47,"Retail Trade")</f>
        <v>Wholesale Trade</v>
      </c>
      <c r="E122" s="16">
        <v>52955</v>
      </c>
      <c r="F122">
        <v>126</v>
      </c>
      <c r="G122">
        <v>133</v>
      </c>
    </row>
    <row r="123" spans="1:7">
      <c r="A123" s="39">
        <v>44287</v>
      </c>
      <c r="B123" s="40">
        <f t="shared" si="1"/>
        <v>44287</v>
      </c>
      <c r="C123">
        <v>47</v>
      </c>
      <c r="D123" t="str" cm="1">
        <f t="array" ref="D123">_xlfn.IFS($C123=45,"Motor Vehicles &amp; Motorcycles",$C123=46,"Wholesale Trade",$C123=47,"Retail Trade")</f>
        <v>Retail Trade</v>
      </c>
      <c r="E123" s="16">
        <v>44306</v>
      </c>
      <c r="F123">
        <v>135</v>
      </c>
      <c r="G123">
        <v>147</v>
      </c>
    </row>
    <row r="124" spans="1:7">
      <c r="A124" s="39">
        <v>44317</v>
      </c>
      <c r="B124" s="40">
        <f t="shared" si="1"/>
        <v>44317</v>
      </c>
      <c r="C124">
        <v>45</v>
      </c>
      <c r="D124" t="str" cm="1">
        <f t="array" ref="D124">_xlfn.IFS($C124=45,"Motor Vehicles &amp; Motorcycles",$C124=46,"Wholesale Trade",$C124=47,"Retail Trade")</f>
        <v>Motor Vehicles &amp; Motorcycles</v>
      </c>
      <c r="E124" s="16">
        <v>11595</v>
      </c>
      <c r="F124">
        <v>91</v>
      </c>
      <c r="G124">
        <v>101</v>
      </c>
    </row>
    <row r="125" spans="1:7">
      <c r="A125" s="39">
        <v>44317</v>
      </c>
      <c r="B125" s="40">
        <f t="shared" si="1"/>
        <v>44317</v>
      </c>
      <c r="C125">
        <v>46</v>
      </c>
      <c r="D125" t="str" cm="1">
        <f t="array" ref="D125">_xlfn.IFS($C125=45,"Motor Vehicles &amp; Motorcycles",$C125=46,"Wholesale Trade",$C125=47,"Retail Trade")</f>
        <v>Wholesale Trade</v>
      </c>
      <c r="E125" s="16">
        <v>53297</v>
      </c>
      <c r="F125">
        <v>126</v>
      </c>
      <c r="G125">
        <v>129</v>
      </c>
    </row>
    <row r="126" spans="1:7">
      <c r="A126" s="39">
        <v>44317</v>
      </c>
      <c r="B126" s="40">
        <f t="shared" si="1"/>
        <v>44317</v>
      </c>
      <c r="C126">
        <v>47</v>
      </c>
      <c r="D126" t="str" cm="1">
        <f t="array" ref="D126">_xlfn.IFS($C126=45,"Motor Vehicles &amp; Motorcycles",$C126=46,"Wholesale Trade",$C126=47,"Retail Trade")</f>
        <v>Retail Trade</v>
      </c>
      <c r="E126" s="16">
        <v>43350</v>
      </c>
      <c r="F126">
        <v>132</v>
      </c>
      <c r="G126">
        <v>144</v>
      </c>
    </row>
    <row r="127" spans="1:7">
      <c r="A127" s="39">
        <v>44348</v>
      </c>
      <c r="B127" s="40">
        <f t="shared" si="1"/>
        <v>44348</v>
      </c>
      <c r="C127">
        <v>45</v>
      </c>
      <c r="D127" t="str" cm="1">
        <f t="array" ref="D127">_xlfn.IFS($C127=45,"Motor Vehicles &amp; Motorcycles",$C127=46,"Wholesale Trade",$C127=47,"Retail Trade")</f>
        <v>Motor Vehicles &amp; Motorcycles</v>
      </c>
      <c r="E127" s="16">
        <v>925</v>
      </c>
      <c r="F127">
        <v>7</v>
      </c>
      <c r="G127">
        <v>8</v>
      </c>
    </row>
    <row r="128" spans="1:7">
      <c r="A128" s="39">
        <v>44348</v>
      </c>
      <c r="B128" s="40">
        <f t="shared" si="1"/>
        <v>44348</v>
      </c>
      <c r="C128">
        <v>46</v>
      </c>
      <c r="D128" t="str" cm="1">
        <f t="array" ref="D128">_xlfn.IFS($C128=45,"Motor Vehicles &amp; Motorcycles",$C128=46,"Wholesale Trade",$C128=47,"Retail Trade")</f>
        <v>Wholesale Trade</v>
      </c>
      <c r="E128" s="16">
        <v>50723</v>
      </c>
      <c r="F128">
        <v>119</v>
      </c>
      <c r="G128">
        <v>123</v>
      </c>
    </row>
    <row r="129" spans="1:7">
      <c r="A129" s="39">
        <v>44348</v>
      </c>
      <c r="B129" s="40">
        <f t="shared" si="1"/>
        <v>44348</v>
      </c>
      <c r="C129">
        <v>47</v>
      </c>
      <c r="D129" t="str" cm="1">
        <f t="array" ref="D129">_xlfn.IFS($C129=45,"Motor Vehicles &amp; Motorcycles",$C129=46,"Wholesale Trade",$C129=47,"Retail Trade")</f>
        <v>Retail Trade</v>
      </c>
      <c r="E129" s="16">
        <v>40579</v>
      </c>
      <c r="F129">
        <v>126</v>
      </c>
      <c r="G129">
        <v>123</v>
      </c>
    </row>
    <row r="130" spans="1:7">
      <c r="A130" s="39">
        <v>44378</v>
      </c>
      <c r="B130" s="40">
        <f t="shared" si="1"/>
        <v>44378</v>
      </c>
      <c r="C130">
        <v>45</v>
      </c>
      <c r="D130" t="str" cm="1">
        <f t="array" ref="D130">_xlfn.IFS($C130=45,"Motor Vehicles &amp; Motorcycles",$C130=46,"Wholesale Trade",$C130=47,"Retail Trade")</f>
        <v>Motor Vehicles &amp; Motorcycles</v>
      </c>
      <c r="E130" s="16">
        <v>2023</v>
      </c>
      <c r="F130">
        <v>14</v>
      </c>
      <c r="G130">
        <v>13</v>
      </c>
    </row>
    <row r="131" spans="1:7">
      <c r="A131" s="39">
        <v>44378</v>
      </c>
      <c r="B131" s="40">
        <f t="shared" si="1"/>
        <v>44378</v>
      </c>
      <c r="C131">
        <v>46</v>
      </c>
      <c r="D131" t="str" cm="1">
        <f t="array" ref="D131">_xlfn.IFS($C131=45,"Motor Vehicles &amp; Motorcycles",$C131=46,"Wholesale Trade",$C131=47,"Retail Trade")</f>
        <v>Wholesale Trade</v>
      </c>
      <c r="E131" s="16">
        <v>49519</v>
      </c>
      <c r="F131">
        <v>117</v>
      </c>
      <c r="G131">
        <v>123</v>
      </c>
    </row>
    <row r="132" spans="1:7">
      <c r="A132" s="39">
        <v>44378</v>
      </c>
      <c r="B132" s="40">
        <f t="shared" si="1"/>
        <v>44378</v>
      </c>
      <c r="C132">
        <v>47</v>
      </c>
      <c r="D132" t="str" cm="1">
        <f t="array" ref="D132">_xlfn.IFS($C132=45,"Motor Vehicles &amp; Motorcycles",$C132=46,"Wholesale Trade",$C132=47,"Retail Trade")</f>
        <v>Retail Trade</v>
      </c>
      <c r="E132" s="16">
        <v>41137</v>
      </c>
      <c r="F132">
        <v>126</v>
      </c>
      <c r="G132">
        <v>123</v>
      </c>
    </row>
    <row r="133" spans="1:7">
      <c r="A133" s="39">
        <v>44409</v>
      </c>
      <c r="B133" s="40">
        <f t="shared" ref="B133:B196" si="2">$A133</f>
        <v>44409</v>
      </c>
      <c r="C133">
        <v>45</v>
      </c>
      <c r="D133" t="str" cm="1">
        <f t="array" ref="D133">_xlfn.IFS($C133=45,"Motor Vehicles &amp; Motorcycles",$C133=46,"Wholesale Trade",$C133=47,"Retail Trade")</f>
        <v>Motor Vehicles &amp; Motorcycles</v>
      </c>
      <c r="E133" s="16">
        <v>5828</v>
      </c>
      <c r="F133">
        <v>47</v>
      </c>
      <c r="G133">
        <v>45</v>
      </c>
    </row>
    <row r="134" spans="1:7">
      <c r="A134" s="39">
        <v>44409</v>
      </c>
      <c r="B134" s="40">
        <f t="shared" si="2"/>
        <v>44409</v>
      </c>
      <c r="C134">
        <v>46</v>
      </c>
      <c r="D134" t="str" cm="1">
        <f t="array" ref="D134">_xlfn.IFS($C134=45,"Motor Vehicles &amp; Motorcycles",$C134=46,"Wholesale Trade",$C134=47,"Retail Trade")</f>
        <v>Wholesale Trade</v>
      </c>
      <c r="E134" s="16">
        <v>51855</v>
      </c>
      <c r="F134">
        <v>123</v>
      </c>
      <c r="G134">
        <v>120</v>
      </c>
    </row>
    <row r="135" spans="1:7">
      <c r="A135" s="39">
        <v>44409</v>
      </c>
      <c r="B135" s="40">
        <f t="shared" si="2"/>
        <v>44409</v>
      </c>
      <c r="C135">
        <v>47</v>
      </c>
      <c r="D135" t="str" cm="1">
        <f t="array" ref="D135">_xlfn.IFS($C135=45,"Motor Vehicles &amp; Motorcycles",$C135=46,"Wholesale Trade",$C135=47,"Retail Trade")</f>
        <v>Retail Trade</v>
      </c>
      <c r="E135" s="16">
        <v>42367</v>
      </c>
      <c r="F135">
        <v>128</v>
      </c>
      <c r="G135">
        <v>127</v>
      </c>
    </row>
    <row r="136" spans="1:7">
      <c r="A136" s="39">
        <v>44440</v>
      </c>
      <c r="B136" s="40">
        <f t="shared" si="2"/>
        <v>44440</v>
      </c>
      <c r="C136">
        <v>45</v>
      </c>
      <c r="D136" t="str" cm="1">
        <f t="array" ref="D136">_xlfn.IFS($C136=45,"Motor Vehicles &amp; Motorcycles",$C136=46,"Wholesale Trade",$C136=47,"Retail Trade")</f>
        <v>Motor Vehicles &amp; Motorcycles</v>
      </c>
      <c r="E136" s="16">
        <v>10796</v>
      </c>
      <c r="F136">
        <v>86</v>
      </c>
      <c r="G136">
        <v>84</v>
      </c>
    </row>
    <row r="137" spans="1:7">
      <c r="A137" s="39">
        <v>44440</v>
      </c>
      <c r="B137" s="40">
        <f t="shared" si="2"/>
        <v>44440</v>
      </c>
      <c r="C137">
        <v>46</v>
      </c>
      <c r="D137" t="str" cm="1">
        <f t="array" ref="D137">_xlfn.IFS($C137=45,"Motor Vehicles &amp; Motorcycles",$C137=46,"Wholesale Trade",$C137=47,"Retail Trade")</f>
        <v>Wholesale Trade</v>
      </c>
      <c r="E137" s="16">
        <v>52984</v>
      </c>
      <c r="F137">
        <v>128</v>
      </c>
      <c r="G137">
        <v>122</v>
      </c>
    </row>
    <row r="138" spans="1:7">
      <c r="A138" s="39">
        <v>44440</v>
      </c>
      <c r="B138" s="40">
        <f t="shared" si="2"/>
        <v>44440</v>
      </c>
      <c r="C138">
        <v>47</v>
      </c>
      <c r="D138" t="str" cm="1">
        <f t="array" ref="D138">_xlfn.IFS($C138=45,"Motor Vehicles &amp; Motorcycles",$C138=46,"Wholesale Trade",$C138=47,"Retail Trade")</f>
        <v>Retail Trade</v>
      </c>
      <c r="E138" s="16">
        <v>44334</v>
      </c>
      <c r="F138">
        <v>132</v>
      </c>
      <c r="G138">
        <v>133</v>
      </c>
    </row>
    <row r="139" spans="1:7">
      <c r="A139" s="39">
        <v>44470</v>
      </c>
      <c r="B139" s="40">
        <f t="shared" si="2"/>
        <v>44470</v>
      </c>
      <c r="C139">
        <v>45</v>
      </c>
      <c r="D139" t="str" cm="1">
        <f t="array" ref="D139">_xlfn.IFS($C139=45,"Motor Vehicles &amp; Motorcycles",$C139=46,"Wholesale Trade",$C139=47,"Retail Trade")</f>
        <v>Motor Vehicles &amp; Motorcycles</v>
      </c>
      <c r="E139" s="16">
        <v>14167</v>
      </c>
      <c r="F139">
        <v>117</v>
      </c>
      <c r="G139">
        <v>108</v>
      </c>
    </row>
    <row r="140" spans="1:7">
      <c r="A140" s="39">
        <v>44470</v>
      </c>
      <c r="B140" s="40">
        <f t="shared" si="2"/>
        <v>44470</v>
      </c>
      <c r="C140">
        <v>46</v>
      </c>
      <c r="D140" t="str" cm="1">
        <f t="array" ref="D140">_xlfn.IFS($C140=45,"Motor Vehicles &amp; Motorcycles",$C140=46,"Wholesale Trade",$C140=47,"Retail Trade")</f>
        <v>Wholesale Trade</v>
      </c>
      <c r="E140" s="16">
        <v>55781</v>
      </c>
      <c r="F140">
        <v>131</v>
      </c>
      <c r="G140">
        <v>124</v>
      </c>
    </row>
    <row r="141" spans="1:7">
      <c r="A141" s="39">
        <v>44470</v>
      </c>
      <c r="B141" s="40">
        <f t="shared" si="2"/>
        <v>44470</v>
      </c>
      <c r="C141">
        <v>47</v>
      </c>
      <c r="D141" t="str" cm="1">
        <f t="array" ref="D141">_xlfn.IFS($C141=45,"Motor Vehicles &amp; Motorcycles",$C141=46,"Wholesale Trade",$C141=47,"Retail Trade")</f>
        <v>Retail Trade</v>
      </c>
      <c r="E141" s="16">
        <v>46285</v>
      </c>
      <c r="F141">
        <v>139</v>
      </c>
      <c r="G141">
        <v>138</v>
      </c>
    </row>
    <row r="142" spans="1:7">
      <c r="A142" s="39">
        <v>44501</v>
      </c>
      <c r="B142" s="40">
        <f t="shared" si="2"/>
        <v>44501</v>
      </c>
      <c r="C142">
        <v>45</v>
      </c>
      <c r="D142" t="str" cm="1">
        <f t="array" ref="D142">_xlfn.IFS($C142=45,"Motor Vehicles &amp; Motorcycles",$C142=46,"Wholesale Trade",$C142=47,"Retail Trade")</f>
        <v>Motor Vehicles &amp; Motorcycles</v>
      </c>
      <c r="E142" s="16">
        <v>13383</v>
      </c>
      <c r="F142">
        <v>110</v>
      </c>
      <c r="G142">
        <v>105</v>
      </c>
    </row>
    <row r="143" spans="1:7">
      <c r="A143" s="39">
        <v>44501</v>
      </c>
      <c r="B143" s="40">
        <f t="shared" si="2"/>
        <v>44501</v>
      </c>
      <c r="C143">
        <v>46</v>
      </c>
      <c r="D143" t="str" cm="1">
        <f t="array" ref="D143">_xlfn.IFS($C143=45,"Motor Vehicles &amp; Motorcycles",$C143=46,"Wholesale Trade",$C143=47,"Retail Trade")</f>
        <v>Wholesale Trade</v>
      </c>
      <c r="E143" s="16">
        <v>56338</v>
      </c>
      <c r="F143">
        <v>131</v>
      </c>
      <c r="G143">
        <v>128</v>
      </c>
    </row>
    <row r="144" spans="1:7">
      <c r="A144" s="39">
        <v>44501</v>
      </c>
      <c r="B144" s="40">
        <f t="shared" si="2"/>
        <v>44501</v>
      </c>
      <c r="C144">
        <v>47</v>
      </c>
      <c r="D144" t="str" cm="1">
        <f t="array" ref="D144">_xlfn.IFS($C144=45,"Motor Vehicles &amp; Motorcycles",$C144=46,"Wholesale Trade",$C144=47,"Retail Trade")</f>
        <v>Retail Trade</v>
      </c>
      <c r="E144" s="16">
        <v>47838</v>
      </c>
      <c r="F144">
        <v>143</v>
      </c>
      <c r="G144">
        <v>140</v>
      </c>
    </row>
    <row r="145" spans="1:7">
      <c r="A145" s="39">
        <v>44531</v>
      </c>
      <c r="B145" s="40">
        <f t="shared" si="2"/>
        <v>44531</v>
      </c>
      <c r="C145">
        <v>45</v>
      </c>
      <c r="D145" t="str" cm="1">
        <f t="array" ref="D145">_xlfn.IFS($C145=45,"Motor Vehicles &amp; Motorcycles",$C145=46,"Wholesale Trade",$C145=47,"Retail Trade")</f>
        <v>Motor Vehicles &amp; Motorcycles</v>
      </c>
      <c r="E145" s="16">
        <v>14577</v>
      </c>
      <c r="F145">
        <v>121</v>
      </c>
      <c r="G145">
        <v>111</v>
      </c>
    </row>
    <row r="146" spans="1:7">
      <c r="A146" s="39">
        <v>44531</v>
      </c>
      <c r="B146" s="40">
        <f t="shared" si="2"/>
        <v>44531</v>
      </c>
      <c r="C146">
        <v>46</v>
      </c>
      <c r="D146" t="str" cm="1">
        <f t="array" ref="D146">_xlfn.IFS($C146=45,"Motor Vehicles &amp; Motorcycles",$C146=46,"Wholesale Trade",$C146=47,"Retail Trade")</f>
        <v>Wholesale Trade</v>
      </c>
      <c r="E146" s="16">
        <v>57584</v>
      </c>
      <c r="F146">
        <v>132</v>
      </c>
      <c r="G146">
        <v>128</v>
      </c>
    </row>
    <row r="147" spans="1:7">
      <c r="A147" s="39">
        <v>44531</v>
      </c>
      <c r="B147" s="40">
        <f t="shared" si="2"/>
        <v>44531</v>
      </c>
      <c r="C147">
        <v>47</v>
      </c>
      <c r="D147" t="str" cm="1">
        <f t="array" ref="D147">_xlfn.IFS($C147=45,"Motor Vehicles &amp; Motorcycles",$C147=46,"Wholesale Trade",$C147=47,"Retail Trade")</f>
        <v>Retail Trade</v>
      </c>
      <c r="E147" s="16">
        <v>48474</v>
      </c>
      <c r="F147">
        <v>146</v>
      </c>
      <c r="G147">
        <v>138</v>
      </c>
    </row>
    <row r="148" spans="1:7">
      <c r="A148" s="39">
        <v>44562</v>
      </c>
      <c r="B148" s="40">
        <f t="shared" si="2"/>
        <v>44562</v>
      </c>
      <c r="C148">
        <v>45</v>
      </c>
      <c r="D148" t="str" cm="1">
        <f t="array" ref="D148">_xlfn.IFS($C148=45,"Motor Vehicles &amp; Motorcycles",$C148=46,"Wholesale Trade",$C148=47,"Retail Trade")</f>
        <v>Motor Vehicles &amp; Motorcycles</v>
      </c>
      <c r="E148" s="16">
        <v>12634</v>
      </c>
      <c r="F148">
        <v>108</v>
      </c>
      <c r="G148">
        <v>104</v>
      </c>
    </row>
    <row r="149" spans="1:7">
      <c r="A149" s="39">
        <v>44562</v>
      </c>
      <c r="B149" s="40">
        <f t="shared" si="2"/>
        <v>44562</v>
      </c>
      <c r="C149">
        <v>46</v>
      </c>
      <c r="D149" t="str" cm="1">
        <f t="array" ref="D149">_xlfn.IFS($C149=45,"Motor Vehicles &amp; Motorcycles",$C149=46,"Wholesale Trade",$C149=47,"Retail Trade")</f>
        <v>Wholesale Trade</v>
      </c>
      <c r="E149" s="16">
        <v>58581</v>
      </c>
      <c r="F149">
        <v>134</v>
      </c>
      <c r="G149">
        <v>129</v>
      </c>
    </row>
    <row r="150" spans="1:7">
      <c r="A150" s="39">
        <v>44562</v>
      </c>
      <c r="B150" s="40">
        <f t="shared" si="2"/>
        <v>44562</v>
      </c>
      <c r="C150">
        <v>47</v>
      </c>
      <c r="D150" t="str" cm="1">
        <f t="array" ref="D150">_xlfn.IFS($C150=45,"Motor Vehicles &amp; Motorcycles",$C150=46,"Wholesale Trade",$C150=47,"Retail Trade")</f>
        <v>Retail Trade</v>
      </c>
      <c r="E150" s="16">
        <v>48970</v>
      </c>
      <c r="F150">
        <v>147</v>
      </c>
      <c r="G150">
        <v>143</v>
      </c>
    </row>
    <row r="151" spans="1:7">
      <c r="A151" s="39">
        <v>44593</v>
      </c>
      <c r="B151" s="40">
        <f t="shared" si="2"/>
        <v>44593</v>
      </c>
      <c r="C151">
        <v>45</v>
      </c>
      <c r="D151" t="str" cm="1">
        <f t="array" ref="D151">_xlfn.IFS($C151=45,"Motor Vehicles &amp; Motorcycles",$C151=46,"Wholesale Trade",$C151=47,"Retail Trade")</f>
        <v>Motor Vehicles &amp; Motorcycles</v>
      </c>
      <c r="E151" s="16">
        <v>12456</v>
      </c>
      <c r="F151">
        <v>105</v>
      </c>
      <c r="G151">
        <v>107</v>
      </c>
    </row>
    <row r="152" spans="1:7">
      <c r="A152" s="39">
        <v>44593</v>
      </c>
      <c r="B152" s="40">
        <f t="shared" si="2"/>
        <v>44593</v>
      </c>
      <c r="C152">
        <v>46</v>
      </c>
      <c r="D152" t="str" cm="1">
        <f t="array" ref="D152">_xlfn.IFS($C152=45,"Motor Vehicles &amp; Motorcycles",$C152=46,"Wholesale Trade",$C152=47,"Retail Trade")</f>
        <v>Wholesale Trade</v>
      </c>
      <c r="E152" s="16">
        <v>55850</v>
      </c>
      <c r="F152">
        <v>126</v>
      </c>
      <c r="G152">
        <v>131</v>
      </c>
    </row>
    <row r="153" spans="1:7">
      <c r="A153" s="39">
        <v>44593</v>
      </c>
      <c r="B153" s="40">
        <f t="shared" si="2"/>
        <v>44593</v>
      </c>
      <c r="C153">
        <v>47</v>
      </c>
      <c r="D153" t="str" cm="1">
        <f t="array" ref="D153">_xlfn.IFS($C153=45,"Motor Vehicles &amp; Motorcycles",$C153=46,"Wholesale Trade",$C153=47,"Retail Trade")</f>
        <v>Retail Trade</v>
      </c>
      <c r="E153" s="16">
        <v>48783</v>
      </c>
      <c r="F153">
        <v>146</v>
      </c>
      <c r="G153">
        <v>151</v>
      </c>
    </row>
    <row r="154" spans="1:7">
      <c r="A154" s="39">
        <v>44621</v>
      </c>
      <c r="B154" s="40">
        <f t="shared" si="2"/>
        <v>44621</v>
      </c>
      <c r="C154">
        <v>45</v>
      </c>
      <c r="D154" t="str" cm="1">
        <f t="array" ref="D154">_xlfn.IFS($C154=45,"Motor Vehicles &amp; Motorcycles",$C154=46,"Wholesale Trade",$C154=47,"Retail Trade")</f>
        <v>Motor Vehicles &amp; Motorcycles</v>
      </c>
      <c r="E154" s="16">
        <v>16682</v>
      </c>
      <c r="F154">
        <v>132</v>
      </c>
      <c r="G154">
        <v>116</v>
      </c>
    </row>
    <row r="155" spans="1:7">
      <c r="A155" s="39">
        <v>44621</v>
      </c>
      <c r="B155" s="40">
        <f t="shared" si="2"/>
        <v>44621</v>
      </c>
      <c r="C155">
        <v>46</v>
      </c>
      <c r="D155" t="str" cm="1">
        <f t="array" ref="D155">_xlfn.IFS($C155=45,"Motor Vehicles &amp; Motorcycles",$C155=46,"Wholesale Trade",$C155=47,"Retail Trade")</f>
        <v>Wholesale Trade</v>
      </c>
      <c r="E155" s="16">
        <v>57241</v>
      </c>
      <c r="F155">
        <v>128</v>
      </c>
      <c r="G155">
        <v>130</v>
      </c>
    </row>
    <row r="156" spans="1:7">
      <c r="A156" s="39">
        <v>44621</v>
      </c>
      <c r="B156" s="40">
        <f t="shared" si="2"/>
        <v>44621</v>
      </c>
      <c r="C156">
        <v>47</v>
      </c>
      <c r="D156" t="str" cm="1">
        <f t="array" ref="D156">_xlfn.IFS($C156=45,"Motor Vehicles &amp; Motorcycles",$C156=46,"Wholesale Trade",$C156=47,"Retail Trade")</f>
        <v>Retail Trade</v>
      </c>
      <c r="E156" s="16">
        <v>49851</v>
      </c>
      <c r="F156">
        <v>148</v>
      </c>
      <c r="G156">
        <v>152</v>
      </c>
    </row>
    <row r="157" spans="1:7">
      <c r="A157" s="39">
        <v>44652</v>
      </c>
      <c r="B157" s="40">
        <f t="shared" si="2"/>
        <v>44652</v>
      </c>
      <c r="C157">
        <v>45</v>
      </c>
      <c r="D157" t="str" cm="1">
        <f t="array" ref="D157">_xlfn.IFS($C157=45,"Motor Vehicles &amp; Motorcycles",$C157=46,"Wholesale Trade",$C157=47,"Retail Trade")</f>
        <v>Motor Vehicles &amp; Motorcycles</v>
      </c>
      <c r="E157" s="16">
        <v>15402</v>
      </c>
      <c r="F157">
        <v>121</v>
      </c>
      <c r="G157">
        <v>134</v>
      </c>
    </row>
    <row r="158" spans="1:7">
      <c r="A158" s="39">
        <v>44652</v>
      </c>
      <c r="B158" s="40">
        <f t="shared" si="2"/>
        <v>44652</v>
      </c>
      <c r="C158">
        <v>46</v>
      </c>
      <c r="D158" t="str" cm="1">
        <f t="array" ref="D158">_xlfn.IFS($C158=45,"Motor Vehicles &amp; Motorcycles",$C158=46,"Wholesale Trade",$C158=47,"Retail Trade")</f>
        <v>Wholesale Trade</v>
      </c>
      <c r="E158" s="16">
        <v>59023</v>
      </c>
      <c r="F158">
        <v>131</v>
      </c>
      <c r="G158">
        <v>139</v>
      </c>
    </row>
    <row r="159" spans="1:7">
      <c r="A159" s="39">
        <v>44652</v>
      </c>
      <c r="B159" s="40">
        <f t="shared" si="2"/>
        <v>44652</v>
      </c>
      <c r="C159">
        <v>47</v>
      </c>
      <c r="D159" t="str" cm="1">
        <f t="array" ref="D159">_xlfn.IFS($C159=45,"Motor Vehicles &amp; Motorcycles",$C159=46,"Wholesale Trade",$C159=47,"Retail Trade")</f>
        <v>Retail Trade</v>
      </c>
      <c r="E159" s="16">
        <v>53559</v>
      </c>
      <c r="F159">
        <v>157</v>
      </c>
      <c r="G159">
        <v>176</v>
      </c>
    </row>
    <row r="160" spans="1:7">
      <c r="A160" s="39">
        <v>44682</v>
      </c>
      <c r="B160" s="40">
        <f t="shared" si="2"/>
        <v>44682</v>
      </c>
      <c r="C160">
        <v>45</v>
      </c>
      <c r="D160" t="str" cm="1">
        <f t="array" ref="D160">_xlfn.IFS($C160=45,"Motor Vehicles &amp; Motorcycles",$C160=46,"Wholesale Trade",$C160=47,"Retail Trade")</f>
        <v>Motor Vehicles &amp; Motorcycles</v>
      </c>
      <c r="E160" s="16">
        <v>13930</v>
      </c>
      <c r="F160">
        <v>108</v>
      </c>
      <c r="G160">
        <v>134</v>
      </c>
    </row>
    <row r="161" spans="1:7">
      <c r="A161" s="39">
        <v>44682</v>
      </c>
      <c r="B161" s="40">
        <f t="shared" si="2"/>
        <v>44682</v>
      </c>
      <c r="C161">
        <v>46</v>
      </c>
      <c r="D161" t="str" cm="1">
        <f t="array" ref="D161">_xlfn.IFS($C161=45,"Motor Vehicles &amp; Motorcycles",$C161=46,"Wholesale Trade",$C161=47,"Retail Trade")</f>
        <v>Wholesale Trade</v>
      </c>
      <c r="E161" s="16">
        <v>59555</v>
      </c>
      <c r="F161">
        <v>130</v>
      </c>
      <c r="G161">
        <v>133</v>
      </c>
    </row>
    <row r="162" spans="1:7">
      <c r="A162" s="39">
        <v>44682</v>
      </c>
      <c r="B162" s="40">
        <f t="shared" si="2"/>
        <v>44682</v>
      </c>
      <c r="C162">
        <v>47</v>
      </c>
      <c r="D162" t="str" cm="1">
        <f t="array" ref="D162">_xlfn.IFS($C162=45,"Motor Vehicles &amp; Motorcycles",$C162=46,"Wholesale Trade",$C162=47,"Retail Trade")</f>
        <v>Retail Trade</v>
      </c>
      <c r="E162" s="16">
        <v>56019</v>
      </c>
      <c r="F162">
        <v>164</v>
      </c>
      <c r="G162">
        <v>172</v>
      </c>
    </row>
    <row r="163" spans="1:7">
      <c r="A163" s="39">
        <v>44713</v>
      </c>
      <c r="B163" s="40">
        <f t="shared" si="2"/>
        <v>44713</v>
      </c>
      <c r="C163">
        <v>45</v>
      </c>
      <c r="D163" t="str" cm="1">
        <f t="array" ref="D163">_xlfn.IFS($C163=45,"Motor Vehicles &amp; Motorcycles",$C163=46,"Wholesale Trade",$C163=47,"Retail Trade")</f>
        <v>Motor Vehicles &amp; Motorcycles</v>
      </c>
      <c r="E163" s="16">
        <v>16127</v>
      </c>
      <c r="F163">
        <v>122</v>
      </c>
      <c r="G163">
        <v>129</v>
      </c>
    </row>
    <row r="164" spans="1:7">
      <c r="A164" s="39">
        <v>44713</v>
      </c>
      <c r="B164" s="40">
        <f t="shared" si="2"/>
        <v>44713</v>
      </c>
      <c r="C164">
        <v>46</v>
      </c>
      <c r="D164" t="str" cm="1">
        <f t="array" ref="D164">_xlfn.IFS($C164=45,"Motor Vehicles &amp; Motorcycles",$C164=46,"Wholesale Trade",$C164=47,"Retail Trade")</f>
        <v>Wholesale Trade</v>
      </c>
      <c r="E164" s="16">
        <v>60515</v>
      </c>
      <c r="F164">
        <v>132</v>
      </c>
      <c r="G164">
        <v>135</v>
      </c>
    </row>
    <row r="165" spans="1:7">
      <c r="A165" s="39">
        <v>44713</v>
      </c>
      <c r="B165" s="40">
        <f t="shared" si="2"/>
        <v>44713</v>
      </c>
      <c r="C165">
        <v>47</v>
      </c>
      <c r="D165" t="str" cm="1">
        <f t="array" ref="D165">_xlfn.IFS($C165=45,"Motor Vehicles &amp; Motorcycles",$C165=46,"Wholesale Trade",$C165=47,"Retail Trade")</f>
        <v>Retail Trade</v>
      </c>
      <c r="E165" s="16">
        <v>56154</v>
      </c>
      <c r="F165">
        <v>165</v>
      </c>
      <c r="G165">
        <v>162</v>
      </c>
    </row>
    <row r="166" spans="1:7">
      <c r="A166" s="39">
        <v>44743</v>
      </c>
      <c r="B166" s="40">
        <f t="shared" si="2"/>
        <v>44743</v>
      </c>
      <c r="C166">
        <v>45</v>
      </c>
      <c r="D166" t="str" cm="1">
        <f t="array" ref="D166">_xlfn.IFS($C166=45,"Motor Vehicles &amp; Motorcycles",$C166=46,"Wholesale Trade",$C166=47,"Retail Trade")</f>
        <v>Motor Vehicles &amp; Motorcycles</v>
      </c>
      <c r="E166" s="16">
        <v>14115</v>
      </c>
      <c r="F166">
        <v>106</v>
      </c>
      <c r="G166">
        <v>115</v>
      </c>
    </row>
    <row r="167" spans="1:7">
      <c r="A167" s="39">
        <v>44743</v>
      </c>
      <c r="B167" s="40">
        <f t="shared" si="2"/>
        <v>44743</v>
      </c>
      <c r="C167">
        <v>46</v>
      </c>
      <c r="D167" t="str" cm="1">
        <f t="array" ref="D167">_xlfn.IFS($C167=45,"Motor Vehicles &amp; Motorcycles",$C167=46,"Wholesale Trade",$C167=47,"Retail Trade")</f>
        <v>Wholesale Trade</v>
      </c>
      <c r="E167" s="16">
        <v>59696</v>
      </c>
      <c r="F167">
        <v>130</v>
      </c>
      <c r="G167">
        <v>135</v>
      </c>
    </row>
    <row r="168" spans="1:7">
      <c r="A168" s="39">
        <v>44743</v>
      </c>
      <c r="B168" s="40">
        <f t="shared" si="2"/>
        <v>44743</v>
      </c>
      <c r="C168">
        <v>47</v>
      </c>
      <c r="D168" t="str" cm="1">
        <f t="array" ref="D168">_xlfn.IFS($C168=45,"Motor Vehicles &amp; Motorcycles",$C168=46,"Wholesale Trade",$C168=47,"Retail Trade")</f>
        <v>Retail Trade</v>
      </c>
      <c r="E168" s="16">
        <v>56582</v>
      </c>
      <c r="F168">
        <v>166</v>
      </c>
      <c r="G168">
        <v>177</v>
      </c>
    </row>
    <row r="169" spans="1:7">
      <c r="A169" s="39">
        <v>44774</v>
      </c>
      <c r="B169" s="40">
        <f t="shared" si="2"/>
        <v>44774</v>
      </c>
      <c r="C169">
        <v>45</v>
      </c>
      <c r="D169" t="str" cm="1">
        <f t="array" ref="D169">_xlfn.IFS($C169=45,"Motor Vehicles &amp; Motorcycles",$C169=46,"Wholesale Trade",$C169=47,"Retail Trade")</f>
        <v>Motor Vehicles &amp; Motorcycles</v>
      </c>
      <c r="E169" s="16">
        <v>16514</v>
      </c>
      <c r="F169">
        <v>125</v>
      </c>
      <c r="G169">
        <v>131</v>
      </c>
    </row>
    <row r="170" spans="1:7">
      <c r="A170" s="39">
        <v>44774</v>
      </c>
      <c r="B170" s="40">
        <f t="shared" si="2"/>
        <v>44774</v>
      </c>
      <c r="C170">
        <v>46</v>
      </c>
      <c r="D170" t="str" cm="1">
        <f t="array" ref="D170">_xlfn.IFS($C170=45,"Motor Vehicles &amp; Motorcycles",$C170=46,"Wholesale Trade",$C170=47,"Retail Trade")</f>
        <v>Wholesale Trade</v>
      </c>
      <c r="E170" s="16">
        <v>60131</v>
      </c>
      <c r="F170">
        <v>132</v>
      </c>
      <c r="G170">
        <v>130</v>
      </c>
    </row>
    <row r="171" spans="1:7">
      <c r="A171" s="39">
        <v>44774</v>
      </c>
      <c r="B171" s="40">
        <f t="shared" si="2"/>
        <v>44774</v>
      </c>
      <c r="C171">
        <v>47</v>
      </c>
      <c r="D171" t="str" cm="1">
        <f t="array" ref="D171">_xlfn.IFS($C171=45,"Motor Vehicles &amp; Motorcycles",$C171=46,"Wholesale Trade",$C171=47,"Retail Trade")</f>
        <v>Retail Trade</v>
      </c>
      <c r="E171" s="16">
        <v>56980</v>
      </c>
      <c r="F171">
        <v>167</v>
      </c>
      <c r="G171">
        <v>169</v>
      </c>
    </row>
    <row r="172" spans="1:7">
      <c r="A172" s="39">
        <v>44805</v>
      </c>
      <c r="B172" s="40">
        <f t="shared" si="2"/>
        <v>44805</v>
      </c>
      <c r="C172">
        <v>45</v>
      </c>
      <c r="D172" t="str" cm="1">
        <f t="array" ref="D172">_xlfn.IFS($C172=45,"Motor Vehicles &amp; Motorcycles",$C172=46,"Wholesale Trade",$C172=47,"Retail Trade")</f>
        <v>Motor Vehicles &amp; Motorcycles</v>
      </c>
      <c r="E172" s="16">
        <v>16323</v>
      </c>
      <c r="F172">
        <v>123</v>
      </c>
      <c r="G172">
        <v>119</v>
      </c>
    </row>
    <row r="173" spans="1:7">
      <c r="A173" s="39">
        <v>44805</v>
      </c>
      <c r="B173" s="40">
        <f t="shared" si="2"/>
        <v>44805</v>
      </c>
      <c r="C173">
        <v>46</v>
      </c>
      <c r="D173" t="str" cm="1">
        <f t="array" ref="D173">_xlfn.IFS($C173=45,"Motor Vehicles &amp; Motorcycles",$C173=46,"Wholesale Trade",$C173=47,"Retail Trade")</f>
        <v>Wholesale Trade</v>
      </c>
      <c r="E173" s="16">
        <v>60038</v>
      </c>
      <c r="F173">
        <v>132</v>
      </c>
      <c r="G173">
        <v>128</v>
      </c>
    </row>
    <row r="174" spans="1:7">
      <c r="A174" s="39">
        <v>44805</v>
      </c>
      <c r="B174" s="40">
        <f t="shared" si="2"/>
        <v>44805</v>
      </c>
      <c r="C174">
        <v>47</v>
      </c>
      <c r="D174" t="str" cm="1">
        <f t="array" ref="D174">_xlfn.IFS($C174=45,"Motor Vehicles &amp; Motorcycles",$C174=46,"Wholesale Trade",$C174=47,"Retail Trade")</f>
        <v>Retail Trade</v>
      </c>
      <c r="E174" s="16">
        <v>57653</v>
      </c>
      <c r="F174">
        <v>168</v>
      </c>
      <c r="G174">
        <v>175</v>
      </c>
    </row>
    <row r="175" spans="1:7">
      <c r="A175" s="39">
        <v>44835</v>
      </c>
      <c r="B175" s="40">
        <f t="shared" si="2"/>
        <v>44835</v>
      </c>
      <c r="C175">
        <v>45</v>
      </c>
      <c r="D175" t="str" cm="1">
        <f t="array" ref="D175">_xlfn.IFS($C175=45,"Motor Vehicles &amp; Motorcycles",$C175=46,"Wholesale Trade",$C175=47,"Retail Trade")</f>
        <v>Motor Vehicles &amp; Motorcycles</v>
      </c>
      <c r="E175" s="16">
        <v>15422</v>
      </c>
      <c r="F175">
        <v>118</v>
      </c>
      <c r="G175">
        <v>110</v>
      </c>
    </row>
    <row r="176" spans="1:7">
      <c r="A176" s="39">
        <v>44835</v>
      </c>
      <c r="B176" s="40">
        <f t="shared" si="2"/>
        <v>44835</v>
      </c>
      <c r="C176">
        <v>46</v>
      </c>
      <c r="D176" t="str" cm="1">
        <f t="array" ref="D176">_xlfn.IFS($C176=45,"Motor Vehicles &amp; Motorcycles",$C176=46,"Wholesale Trade",$C176=47,"Retail Trade")</f>
        <v>Wholesale Trade</v>
      </c>
      <c r="E176" s="16">
        <v>59868</v>
      </c>
      <c r="F176">
        <v>132</v>
      </c>
      <c r="G176">
        <v>127</v>
      </c>
    </row>
    <row r="177" spans="1:7">
      <c r="A177" s="39">
        <v>44835</v>
      </c>
      <c r="B177" s="40">
        <f t="shared" si="2"/>
        <v>44835</v>
      </c>
      <c r="C177">
        <v>47</v>
      </c>
      <c r="D177" t="str" cm="1">
        <f t="array" ref="D177">_xlfn.IFS($C177=45,"Motor Vehicles &amp; Motorcycles",$C177=46,"Wholesale Trade",$C177=47,"Retail Trade")</f>
        <v>Retail Trade</v>
      </c>
      <c r="E177" s="16">
        <v>58307</v>
      </c>
      <c r="F177">
        <v>169</v>
      </c>
      <c r="G177">
        <v>167</v>
      </c>
    </row>
    <row r="178" spans="1:7">
      <c r="A178" s="39">
        <v>44866</v>
      </c>
      <c r="B178" s="40">
        <f t="shared" si="2"/>
        <v>44866</v>
      </c>
      <c r="C178">
        <v>45</v>
      </c>
      <c r="D178" t="str" cm="1">
        <f t="array" ref="D178">_xlfn.IFS($C178=45,"Motor Vehicles &amp; Motorcycles",$C178=46,"Wholesale Trade",$C178=47,"Retail Trade")</f>
        <v>Motor Vehicles &amp; Motorcycles</v>
      </c>
      <c r="E178" s="16">
        <v>16036</v>
      </c>
      <c r="F178">
        <v>122</v>
      </c>
      <c r="G178">
        <v>114</v>
      </c>
    </row>
    <row r="179" spans="1:7">
      <c r="A179" s="39">
        <v>44866</v>
      </c>
      <c r="B179" s="40">
        <f t="shared" si="2"/>
        <v>44866</v>
      </c>
      <c r="C179">
        <v>46</v>
      </c>
      <c r="D179" t="str" cm="1">
        <f t="array" ref="D179">_xlfn.IFS($C179=45,"Motor Vehicles &amp; Motorcycles",$C179=46,"Wholesale Trade",$C179=47,"Retail Trade")</f>
        <v>Wholesale Trade</v>
      </c>
      <c r="E179" s="16">
        <v>59487</v>
      </c>
      <c r="F179">
        <v>131</v>
      </c>
      <c r="G179">
        <v>129</v>
      </c>
    </row>
    <row r="180" spans="1:7">
      <c r="A180" s="39">
        <v>44866</v>
      </c>
      <c r="B180" s="40">
        <f t="shared" si="2"/>
        <v>44866</v>
      </c>
      <c r="C180">
        <v>47</v>
      </c>
      <c r="D180" t="str" cm="1">
        <f t="array" ref="D180">_xlfn.IFS($C180=45,"Motor Vehicles &amp; Motorcycles",$C180=46,"Wholesale Trade",$C180=47,"Retail Trade")</f>
        <v>Retail Trade</v>
      </c>
      <c r="E180" s="16">
        <v>58740</v>
      </c>
      <c r="F180">
        <v>170</v>
      </c>
      <c r="G180">
        <v>168</v>
      </c>
    </row>
    <row r="181" spans="1:7">
      <c r="A181" s="39">
        <v>44896</v>
      </c>
      <c r="B181" s="40">
        <f t="shared" si="2"/>
        <v>44896</v>
      </c>
      <c r="C181">
        <v>45</v>
      </c>
      <c r="D181" t="str" cm="1">
        <f t="array" ref="D181">_xlfn.IFS($C181=45,"Motor Vehicles &amp; Motorcycles",$C181=46,"Wholesale Trade",$C181=47,"Retail Trade")</f>
        <v>Motor Vehicles &amp; Motorcycles</v>
      </c>
      <c r="E181" s="16">
        <v>17532</v>
      </c>
      <c r="F181">
        <v>133</v>
      </c>
      <c r="G181">
        <v>116</v>
      </c>
    </row>
    <row r="182" spans="1:7">
      <c r="A182" s="39">
        <v>44896</v>
      </c>
      <c r="B182" s="40">
        <f t="shared" si="2"/>
        <v>44896</v>
      </c>
      <c r="C182">
        <v>46</v>
      </c>
      <c r="D182" t="str" cm="1">
        <f t="array" ref="D182">_xlfn.IFS($C182=45,"Motor Vehicles &amp; Motorcycles",$C182=46,"Wholesale Trade",$C182=47,"Retail Trade")</f>
        <v>Wholesale Trade</v>
      </c>
      <c r="E182" s="16">
        <v>60308</v>
      </c>
      <c r="F182">
        <v>134</v>
      </c>
      <c r="G182">
        <v>129</v>
      </c>
    </row>
    <row r="183" spans="1:7">
      <c r="A183" s="39">
        <v>44896</v>
      </c>
      <c r="B183" s="40">
        <f t="shared" si="2"/>
        <v>44896</v>
      </c>
      <c r="C183">
        <v>47</v>
      </c>
      <c r="D183" t="str" cm="1">
        <f t="array" ref="D183">_xlfn.IFS($C183=45,"Motor Vehicles &amp; Motorcycles",$C183=46,"Wholesale Trade",$C183=47,"Retail Trade")</f>
        <v>Retail Trade</v>
      </c>
      <c r="E183" s="16">
        <v>59454</v>
      </c>
      <c r="F183">
        <v>171</v>
      </c>
      <c r="G183">
        <v>166</v>
      </c>
    </row>
    <row r="184" spans="1:7">
      <c r="A184" s="39">
        <v>44927</v>
      </c>
      <c r="B184" s="40">
        <f t="shared" si="2"/>
        <v>44927</v>
      </c>
      <c r="C184">
        <v>45</v>
      </c>
      <c r="D184" t="str" cm="1">
        <f t="array" ref="D184">_xlfn.IFS($C184=45,"Motor Vehicles &amp; Motorcycles",$C184=46,"Wholesale Trade",$C184=47,"Retail Trade")</f>
        <v>Motor Vehicles &amp; Motorcycles</v>
      </c>
      <c r="E184" s="16">
        <v>15179</v>
      </c>
      <c r="F184">
        <v>118</v>
      </c>
      <c r="G184">
        <v>120</v>
      </c>
    </row>
    <row r="185" spans="1:7">
      <c r="A185" s="39">
        <v>44927</v>
      </c>
      <c r="B185" s="40">
        <f t="shared" si="2"/>
        <v>44927</v>
      </c>
      <c r="C185">
        <v>46</v>
      </c>
      <c r="D185" t="str" cm="1">
        <f t="array" ref="D185">_xlfn.IFS($C185=45,"Motor Vehicles &amp; Motorcycles",$C185=46,"Wholesale Trade",$C185=47,"Retail Trade")</f>
        <v>Wholesale Trade</v>
      </c>
      <c r="E185" s="16">
        <v>60374</v>
      </c>
      <c r="F185">
        <v>134</v>
      </c>
      <c r="G185">
        <v>130</v>
      </c>
    </row>
    <row r="186" spans="1:7">
      <c r="A186" s="39">
        <v>44927</v>
      </c>
      <c r="B186" s="40">
        <f t="shared" si="2"/>
        <v>44927</v>
      </c>
      <c r="C186">
        <v>47</v>
      </c>
      <c r="D186" t="str" cm="1">
        <f t="array" ref="D186">_xlfn.IFS($C186=45,"Motor Vehicles &amp; Motorcycles",$C186=46,"Wholesale Trade",$C186=47,"Retail Trade")</f>
        <v>Retail Trade</v>
      </c>
      <c r="E186" s="16">
        <v>59577</v>
      </c>
      <c r="F186">
        <v>171</v>
      </c>
      <c r="G186">
        <v>165</v>
      </c>
    </row>
    <row r="187" spans="1:7">
      <c r="A187" s="39">
        <v>44958</v>
      </c>
      <c r="B187" s="40">
        <f t="shared" si="2"/>
        <v>44958</v>
      </c>
      <c r="C187">
        <v>45</v>
      </c>
      <c r="D187" t="str" cm="1">
        <f t="array" ref="D187">_xlfn.IFS($C187=45,"Motor Vehicles &amp; Motorcycles",$C187=46,"Wholesale Trade",$C187=47,"Retail Trade")</f>
        <v>Motor Vehicles &amp; Motorcycles</v>
      </c>
      <c r="E187" s="16">
        <v>16485</v>
      </c>
      <c r="F187">
        <v>127</v>
      </c>
      <c r="G187">
        <v>122</v>
      </c>
    </row>
    <row r="188" spans="1:7">
      <c r="A188" s="39">
        <v>44958</v>
      </c>
      <c r="B188" s="40">
        <f t="shared" si="2"/>
        <v>44958</v>
      </c>
      <c r="C188">
        <v>46</v>
      </c>
      <c r="D188" t="str" cm="1">
        <f t="array" ref="D188">_xlfn.IFS($C188=45,"Motor Vehicles &amp; Motorcycles",$C188=46,"Wholesale Trade",$C188=47,"Retail Trade")</f>
        <v>Wholesale Trade</v>
      </c>
      <c r="E188" s="16">
        <v>59148</v>
      </c>
      <c r="F188">
        <v>131</v>
      </c>
      <c r="G188">
        <v>134</v>
      </c>
    </row>
    <row r="189" spans="1:7">
      <c r="A189" s="39">
        <v>44958</v>
      </c>
      <c r="B189" s="40">
        <f t="shared" si="2"/>
        <v>44958</v>
      </c>
      <c r="C189">
        <v>47</v>
      </c>
      <c r="D189" t="str" cm="1">
        <f t="array" ref="D189">_xlfn.IFS($C189=45,"Motor Vehicles &amp; Motorcycles",$C189=46,"Wholesale Trade",$C189=47,"Retail Trade")</f>
        <v>Retail Trade</v>
      </c>
      <c r="E189" s="16">
        <v>58158</v>
      </c>
      <c r="F189">
        <v>167</v>
      </c>
      <c r="G189">
        <v>169</v>
      </c>
    </row>
    <row r="190" spans="1:7">
      <c r="A190" s="39">
        <v>44986</v>
      </c>
      <c r="B190" s="40">
        <f t="shared" si="2"/>
        <v>44986</v>
      </c>
      <c r="C190">
        <v>45</v>
      </c>
      <c r="D190" t="str" cm="1">
        <f t="array" ref="D190">_xlfn.IFS($C190=45,"Motor Vehicles &amp; Motorcycles",$C190=46,"Wholesale Trade",$C190=47,"Retail Trade")</f>
        <v>Motor Vehicles &amp; Motorcycles</v>
      </c>
      <c r="E190" s="16">
        <v>18229</v>
      </c>
      <c r="F190">
        <v>140</v>
      </c>
      <c r="G190">
        <v>128</v>
      </c>
    </row>
    <row r="191" spans="1:7">
      <c r="A191" s="39">
        <v>44986</v>
      </c>
      <c r="B191" s="40">
        <f t="shared" si="2"/>
        <v>44986</v>
      </c>
      <c r="C191">
        <v>46</v>
      </c>
      <c r="D191" t="str" cm="1">
        <f t="array" ref="D191">_xlfn.IFS($C191=45,"Motor Vehicles &amp; Motorcycles",$C191=46,"Wholesale Trade",$C191=47,"Retail Trade")</f>
        <v>Wholesale Trade</v>
      </c>
      <c r="E191" s="16">
        <v>61597</v>
      </c>
      <c r="F191">
        <v>136</v>
      </c>
      <c r="G191">
        <v>141</v>
      </c>
    </row>
    <row r="192" spans="1:7">
      <c r="A192" s="39">
        <v>44986</v>
      </c>
      <c r="B192" s="40">
        <f t="shared" si="2"/>
        <v>44986</v>
      </c>
      <c r="C192">
        <v>47</v>
      </c>
      <c r="D192" t="str" cm="1">
        <f t="array" ref="D192">_xlfn.IFS($C192=45,"Motor Vehicles &amp; Motorcycles",$C192=46,"Wholesale Trade",$C192=47,"Retail Trade")</f>
        <v>Retail Trade</v>
      </c>
      <c r="E192" s="16">
        <v>58671</v>
      </c>
      <c r="F192">
        <v>169</v>
      </c>
      <c r="G192">
        <v>173</v>
      </c>
    </row>
    <row r="193" spans="1:7">
      <c r="A193" s="39">
        <v>45017</v>
      </c>
      <c r="B193" s="40">
        <f t="shared" si="2"/>
        <v>45017</v>
      </c>
      <c r="C193">
        <v>45</v>
      </c>
      <c r="D193" t="str" cm="1">
        <f t="array" ref="D193">_xlfn.IFS($C193=45,"Motor Vehicles &amp; Motorcycles",$C193=46,"Wholesale Trade",$C193=47,"Retail Trade")</f>
        <v>Motor Vehicles &amp; Motorcycles</v>
      </c>
      <c r="E193" s="16">
        <v>14623</v>
      </c>
      <c r="F193">
        <v>110</v>
      </c>
      <c r="G193">
        <v>122</v>
      </c>
    </row>
    <row r="194" spans="1:7">
      <c r="A194" s="39">
        <v>45017</v>
      </c>
      <c r="B194" s="40">
        <f t="shared" si="2"/>
        <v>45017</v>
      </c>
      <c r="C194">
        <v>46</v>
      </c>
      <c r="D194" t="str" cm="1">
        <f t="array" ref="D194">_xlfn.IFS($C194=45,"Motor Vehicles &amp; Motorcycles",$C194=46,"Wholesale Trade",$C194=47,"Retail Trade")</f>
        <v>Wholesale Trade</v>
      </c>
      <c r="E194" s="16">
        <v>60902</v>
      </c>
      <c r="F194">
        <v>135</v>
      </c>
      <c r="G194">
        <v>135</v>
      </c>
    </row>
    <row r="195" spans="1:7">
      <c r="A195" s="39">
        <v>45017</v>
      </c>
      <c r="B195" s="40">
        <f t="shared" si="2"/>
        <v>45017</v>
      </c>
      <c r="C195">
        <v>47</v>
      </c>
      <c r="D195" t="str" cm="1">
        <f t="array" ref="D195">_xlfn.IFS($C195=45,"Motor Vehicles &amp; Motorcycles",$C195=46,"Wholesale Trade",$C195=47,"Retail Trade")</f>
        <v>Retail Trade</v>
      </c>
      <c r="E195" s="16">
        <v>60462</v>
      </c>
      <c r="F195">
        <v>173</v>
      </c>
      <c r="G195">
        <v>174</v>
      </c>
    </row>
    <row r="196" spans="1:7">
      <c r="A196" s="39">
        <v>45047</v>
      </c>
      <c r="B196" s="40">
        <f t="shared" si="2"/>
        <v>45047</v>
      </c>
      <c r="C196">
        <v>45</v>
      </c>
      <c r="D196" t="str" cm="1">
        <f t="array" ref="D196">_xlfn.IFS($C196=45,"Motor Vehicles &amp; Motorcycles",$C196=46,"Wholesale Trade",$C196=47,"Retail Trade")</f>
        <v>Motor Vehicles &amp; Motorcycles</v>
      </c>
      <c r="E196" s="16">
        <v>16997</v>
      </c>
      <c r="F196">
        <v>128</v>
      </c>
      <c r="G196">
        <v>157</v>
      </c>
    </row>
    <row r="197" spans="1:7">
      <c r="A197" s="39">
        <v>45047</v>
      </c>
      <c r="B197" s="40">
        <f t="shared" ref="B197:B260" si="3">$A197</f>
        <v>45047</v>
      </c>
      <c r="C197">
        <v>46</v>
      </c>
      <c r="D197" t="str" cm="1">
        <f t="array" ref="D197">_xlfn.IFS($C197=45,"Motor Vehicles &amp; Motorcycles",$C197=46,"Wholesale Trade",$C197=47,"Retail Trade")</f>
        <v>Wholesale Trade</v>
      </c>
      <c r="E197" s="16">
        <v>62170</v>
      </c>
      <c r="F197">
        <v>137</v>
      </c>
      <c r="G197">
        <v>139</v>
      </c>
    </row>
    <row r="198" spans="1:7">
      <c r="A198" s="39">
        <v>45047</v>
      </c>
      <c r="B198" s="40">
        <f t="shared" si="3"/>
        <v>45047</v>
      </c>
      <c r="C198">
        <v>47</v>
      </c>
      <c r="D198" t="str" cm="1">
        <f t="array" ref="D198">_xlfn.IFS($C198=45,"Motor Vehicles &amp; Motorcycles",$C198=46,"Wholesale Trade",$C198=47,"Retail Trade")</f>
        <v>Retail Trade</v>
      </c>
      <c r="E198" s="16">
        <v>58830</v>
      </c>
      <c r="F198">
        <v>168</v>
      </c>
      <c r="G198">
        <v>170</v>
      </c>
    </row>
    <row r="199" spans="1:7">
      <c r="A199" s="39">
        <v>45078</v>
      </c>
      <c r="B199" s="40">
        <f t="shared" si="3"/>
        <v>45078</v>
      </c>
      <c r="C199">
        <v>45</v>
      </c>
      <c r="D199" t="str" cm="1">
        <f t="array" ref="D199">_xlfn.IFS($C199=45,"Motor Vehicles &amp; Motorcycles",$C199=46,"Wholesale Trade",$C199=47,"Retail Trade")</f>
        <v>Motor Vehicles &amp; Motorcycles</v>
      </c>
      <c r="E199" s="16">
        <v>16677</v>
      </c>
      <c r="F199">
        <v>125</v>
      </c>
      <c r="G199">
        <v>142</v>
      </c>
    </row>
    <row r="200" spans="1:7">
      <c r="A200" s="39">
        <v>45078</v>
      </c>
      <c r="B200" s="40">
        <f t="shared" si="3"/>
        <v>45078</v>
      </c>
      <c r="C200">
        <v>46</v>
      </c>
      <c r="D200" t="str" cm="1">
        <f t="array" ref="D200">_xlfn.IFS($C200=45,"Motor Vehicles &amp; Motorcycles",$C200=46,"Wholesale Trade",$C200=47,"Retail Trade")</f>
        <v>Wholesale Trade</v>
      </c>
      <c r="E200" s="16">
        <v>62384</v>
      </c>
      <c r="F200">
        <v>138</v>
      </c>
      <c r="G200">
        <v>140</v>
      </c>
    </row>
    <row r="201" spans="1:7">
      <c r="A201" s="39">
        <v>45078</v>
      </c>
      <c r="B201" s="40">
        <f t="shared" si="3"/>
        <v>45078</v>
      </c>
      <c r="C201">
        <v>47</v>
      </c>
      <c r="D201" t="str" cm="1">
        <f t="array" ref="D201">_xlfn.IFS($C201=45,"Motor Vehicles &amp; Motorcycles",$C201=46,"Wholesale Trade",$C201=47,"Retail Trade")</f>
        <v>Retail Trade</v>
      </c>
      <c r="E201" s="16">
        <v>59404</v>
      </c>
      <c r="F201">
        <v>169</v>
      </c>
      <c r="G201">
        <v>171</v>
      </c>
    </row>
    <row r="202" spans="1:7">
      <c r="A202" s="39">
        <v>45108</v>
      </c>
      <c r="B202" s="40">
        <f t="shared" si="3"/>
        <v>45108</v>
      </c>
      <c r="C202">
        <v>45</v>
      </c>
      <c r="D202" t="str" cm="1">
        <f t="array" ref="D202">_xlfn.IFS($C202=45,"Motor Vehicles &amp; Motorcycles",$C202=46,"Wholesale Trade",$C202=47,"Retail Trade")</f>
        <v>Motor Vehicles &amp; Motorcycles</v>
      </c>
      <c r="E202" s="16">
        <v>16919</v>
      </c>
      <c r="F202">
        <v>127</v>
      </c>
      <c r="G202">
        <v>158</v>
      </c>
    </row>
    <row r="203" spans="1:7">
      <c r="A203" s="39">
        <v>45108</v>
      </c>
      <c r="B203" s="40">
        <f t="shared" si="3"/>
        <v>45108</v>
      </c>
      <c r="C203">
        <v>46</v>
      </c>
      <c r="D203" t="str" cm="1">
        <f t="array" ref="D203">_xlfn.IFS($C203=45,"Motor Vehicles &amp; Motorcycles",$C203=46,"Wholesale Trade",$C203=47,"Retail Trade")</f>
        <v>Wholesale Trade</v>
      </c>
      <c r="E203" s="16">
        <v>63093</v>
      </c>
      <c r="F203">
        <v>139</v>
      </c>
      <c r="G203">
        <v>142</v>
      </c>
    </row>
    <row r="204" spans="1:7">
      <c r="A204" s="39">
        <v>45108</v>
      </c>
      <c r="B204" s="40">
        <f t="shared" si="3"/>
        <v>45108</v>
      </c>
      <c r="C204">
        <v>47</v>
      </c>
      <c r="D204" t="str" cm="1">
        <f t="array" ref="D204">_xlfn.IFS($C204=45,"Motor Vehicles &amp; Motorcycles",$C204=46,"Wholesale Trade",$C204=47,"Retail Trade")</f>
        <v>Retail Trade</v>
      </c>
      <c r="E204" s="16">
        <v>59680</v>
      </c>
      <c r="F204">
        <v>170</v>
      </c>
      <c r="G204">
        <v>173</v>
      </c>
    </row>
    <row r="205" spans="1:7">
      <c r="A205" s="39">
        <v>45139</v>
      </c>
      <c r="B205" s="40">
        <f t="shared" si="3"/>
        <v>45139</v>
      </c>
      <c r="C205">
        <v>45</v>
      </c>
      <c r="D205" t="str" cm="1">
        <f t="array" ref="D205">_xlfn.IFS($C205=45,"Motor Vehicles &amp; Motorcycles",$C205=46,"Wholesale Trade",$C205=47,"Retail Trade")</f>
        <v>Motor Vehicles &amp; Motorcycles</v>
      </c>
      <c r="E205" s="16">
        <v>18122</v>
      </c>
      <c r="F205">
        <v>136</v>
      </c>
      <c r="G205">
        <v>150</v>
      </c>
    </row>
    <row r="206" spans="1:7">
      <c r="A206" s="39">
        <v>45139</v>
      </c>
      <c r="B206" s="40">
        <f t="shared" si="3"/>
        <v>45139</v>
      </c>
      <c r="C206">
        <v>46</v>
      </c>
      <c r="D206" t="str" cm="1">
        <f t="array" ref="D206">_xlfn.IFS($C206=45,"Motor Vehicles &amp; Motorcycles",$C206=46,"Wholesale Trade",$C206=47,"Retail Trade")</f>
        <v>Wholesale Trade</v>
      </c>
      <c r="E206" s="16">
        <v>63860</v>
      </c>
      <c r="F206">
        <v>140</v>
      </c>
      <c r="G206">
        <v>140</v>
      </c>
    </row>
    <row r="207" spans="1:7">
      <c r="A207" s="39">
        <v>45139</v>
      </c>
      <c r="B207" s="40">
        <f t="shared" si="3"/>
        <v>45139</v>
      </c>
      <c r="C207">
        <v>47</v>
      </c>
      <c r="D207" t="str" cm="1">
        <f t="array" ref="D207">_xlfn.IFS($C207=45,"Motor Vehicles &amp; Motorcycles",$C207=46,"Wholesale Trade",$C207=47,"Retail Trade")</f>
        <v>Retail Trade</v>
      </c>
      <c r="E207" s="16">
        <v>60544</v>
      </c>
      <c r="F207">
        <v>173</v>
      </c>
      <c r="G207">
        <v>173</v>
      </c>
    </row>
    <row r="208" spans="1:7">
      <c r="A208" s="39">
        <v>45170</v>
      </c>
      <c r="B208" s="40">
        <f t="shared" si="3"/>
        <v>45170</v>
      </c>
      <c r="C208">
        <v>45</v>
      </c>
      <c r="D208" t="str" cm="1">
        <f t="array" ref="D208">_xlfn.IFS($C208=45,"Motor Vehicles &amp; Motorcycles",$C208=46,"Wholesale Trade",$C208=47,"Retail Trade")</f>
        <v>Motor Vehicles &amp; Motorcycles</v>
      </c>
      <c r="E208" s="16">
        <v>17466</v>
      </c>
      <c r="F208">
        <v>131</v>
      </c>
      <c r="G208">
        <v>130</v>
      </c>
    </row>
    <row r="209" spans="1:7">
      <c r="A209" s="39">
        <v>45170</v>
      </c>
      <c r="B209" s="40">
        <f t="shared" si="3"/>
        <v>45170</v>
      </c>
      <c r="C209">
        <v>46</v>
      </c>
      <c r="D209" t="str" cm="1">
        <f t="array" ref="D209">_xlfn.IFS($C209=45,"Motor Vehicles &amp; Motorcycles",$C209=46,"Wholesale Trade",$C209=47,"Retail Trade")</f>
        <v>Wholesale Trade</v>
      </c>
      <c r="E209" s="16">
        <v>64183</v>
      </c>
      <c r="F209">
        <v>140</v>
      </c>
      <c r="G209">
        <v>138</v>
      </c>
    </row>
    <row r="210" spans="1:7">
      <c r="A210" s="39">
        <v>45170</v>
      </c>
      <c r="B210" s="40">
        <f t="shared" si="3"/>
        <v>45170</v>
      </c>
      <c r="C210">
        <v>47</v>
      </c>
      <c r="D210" t="str" cm="1">
        <f t="array" ref="D210">_xlfn.IFS($C210=45,"Motor Vehicles &amp; Motorcycles",$C210=46,"Wholesale Trade",$C210=47,"Retail Trade")</f>
        <v>Retail Trade</v>
      </c>
      <c r="E210" s="16">
        <v>61070</v>
      </c>
      <c r="F210">
        <v>174</v>
      </c>
      <c r="G210">
        <v>175</v>
      </c>
    </row>
    <row r="211" spans="1:7">
      <c r="A211" s="39">
        <v>45200</v>
      </c>
      <c r="B211" s="40">
        <f t="shared" si="3"/>
        <v>45200</v>
      </c>
      <c r="C211">
        <v>45</v>
      </c>
      <c r="D211" t="str" cm="1">
        <f t="array" ref="D211">_xlfn.IFS($C211=45,"Motor Vehicles &amp; Motorcycles",$C211=46,"Wholesale Trade",$C211=47,"Retail Trade")</f>
        <v>Motor Vehicles &amp; Motorcycles</v>
      </c>
      <c r="E211" s="16">
        <v>18375</v>
      </c>
      <c r="F211">
        <v>137</v>
      </c>
      <c r="G211">
        <v>130</v>
      </c>
    </row>
    <row r="212" spans="1:7">
      <c r="A212" s="39">
        <v>45200</v>
      </c>
      <c r="B212" s="40">
        <f t="shared" si="3"/>
        <v>45200</v>
      </c>
      <c r="C212">
        <v>46</v>
      </c>
      <c r="D212" t="str" cm="1">
        <f t="array" ref="D212">_xlfn.IFS($C212=45,"Motor Vehicles &amp; Motorcycles",$C212=46,"Wholesale Trade",$C212=47,"Retail Trade")</f>
        <v>Wholesale Trade</v>
      </c>
      <c r="E212" s="16">
        <v>63308</v>
      </c>
      <c r="F212">
        <v>138</v>
      </c>
      <c r="G212">
        <v>136</v>
      </c>
    </row>
    <row r="213" spans="1:7">
      <c r="A213" s="39">
        <v>45200</v>
      </c>
      <c r="B213" s="40">
        <f t="shared" si="3"/>
        <v>45200</v>
      </c>
      <c r="C213">
        <v>47</v>
      </c>
      <c r="D213" t="str" cm="1">
        <f t="array" ref="D213">_xlfn.IFS($C213=45,"Motor Vehicles &amp; Motorcycles",$C213=46,"Wholesale Trade",$C213=47,"Retail Trade")</f>
        <v>Retail Trade</v>
      </c>
      <c r="E213" s="16">
        <v>60599</v>
      </c>
      <c r="F213">
        <v>173</v>
      </c>
      <c r="G213">
        <v>172</v>
      </c>
    </row>
    <row r="214" spans="1:7">
      <c r="A214" s="39">
        <v>45231</v>
      </c>
      <c r="B214" s="40">
        <f t="shared" si="3"/>
        <v>45231</v>
      </c>
      <c r="C214">
        <v>45</v>
      </c>
      <c r="D214" t="str" cm="1">
        <f t="array" ref="D214">_xlfn.IFS($C214=45,"Motor Vehicles &amp; Motorcycles",$C214=46,"Wholesale Trade",$C214=47,"Retail Trade")</f>
        <v>Motor Vehicles &amp; Motorcycles</v>
      </c>
      <c r="E214" s="16">
        <v>18072</v>
      </c>
      <c r="F214">
        <v>134</v>
      </c>
      <c r="G214">
        <v>124</v>
      </c>
    </row>
    <row r="215" spans="1:7">
      <c r="A215" s="39">
        <v>45231</v>
      </c>
      <c r="B215" s="40">
        <f t="shared" si="3"/>
        <v>45231</v>
      </c>
      <c r="C215">
        <v>46</v>
      </c>
      <c r="D215" t="str" cm="1">
        <f t="array" ref="D215">_xlfn.IFS($C215=45,"Motor Vehicles &amp; Motorcycles",$C215=46,"Wholesale Trade",$C215=47,"Retail Trade")</f>
        <v>Wholesale Trade</v>
      </c>
      <c r="E215" s="16">
        <v>63196</v>
      </c>
      <c r="F215">
        <v>139</v>
      </c>
      <c r="G215">
        <v>137</v>
      </c>
    </row>
    <row r="216" spans="1:7">
      <c r="A216" s="39">
        <v>45231</v>
      </c>
      <c r="B216" s="40">
        <f t="shared" si="3"/>
        <v>45231</v>
      </c>
      <c r="C216">
        <v>47</v>
      </c>
      <c r="D216" t="str" cm="1">
        <f t="array" ref="D216">_xlfn.IFS($C216=45,"Motor Vehicles &amp; Motorcycles",$C216=46,"Wholesale Trade",$C216=47,"Retail Trade")</f>
        <v>Retail Trade</v>
      </c>
      <c r="E216" s="16">
        <v>61313</v>
      </c>
      <c r="F216">
        <v>175</v>
      </c>
      <c r="G216">
        <v>172</v>
      </c>
    </row>
    <row r="217" spans="1:7">
      <c r="A217" s="39">
        <v>45261</v>
      </c>
      <c r="B217" s="40">
        <f t="shared" si="3"/>
        <v>45261</v>
      </c>
      <c r="C217">
        <v>45</v>
      </c>
      <c r="D217" t="str" cm="1">
        <f t="array" ref="D217">_xlfn.IFS($C217=45,"Motor Vehicles &amp; Motorcycles",$C217=46,"Wholesale Trade",$C217=47,"Retail Trade")</f>
        <v>Motor Vehicles &amp; Motorcycles</v>
      </c>
      <c r="E217" s="16">
        <v>18562</v>
      </c>
      <c r="F217">
        <v>138</v>
      </c>
      <c r="G217">
        <v>121</v>
      </c>
    </row>
    <row r="218" spans="1:7">
      <c r="A218" s="39">
        <v>45261</v>
      </c>
      <c r="B218" s="40">
        <f t="shared" si="3"/>
        <v>45261</v>
      </c>
      <c r="C218">
        <v>46</v>
      </c>
      <c r="D218" t="str" cm="1">
        <f t="array" ref="D218">_xlfn.IFS($C218=45,"Motor Vehicles &amp; Motorcycles",$C218=46,"Wholesale Trade",$C218=47,"Retail Trade")</f>
        <v>Wholesale Trade</v>
      </c>
      <c r="E218" s="16">
        <v>62934</v>
      </c>
      <c r="F218">
        <v>138</v>
      </c>
      <c r="G218">
        <v>137</v>
      </c>
    </row>
    <row r="219" spans="1:7">
      <c r="A219" s="39">
        <v>45261</v>
      </c>
      <c r="B219" s="40">
        <f t="shared" si="3"/>
        <v>45261</v>
      </c>
      <c r="C219">
        <v>47</v>
      </c>
      <c r="D219" t="str" cm="1">
        <f t="array" ref="D219">_xlfn.IFS($C219=45,"Motor Vehicles &amp; Motorcycles",$C219=46,"Wholesale Trade",$C219=47,"Retail Trade")</f>
        <v>Retail Trade</v>
      </c>
      <c r="E219" s="16">
        <v>62443</v>
      </c>
      <c r="F219">
        <v>178</v>
      </c>
      <c r="G219">
        <v>172</v>
      </c>
    </row>
    <row r="220" spans="1:7">
      <c r="A220" s="39">
        <v>45292</v>
      </c>
      <c r="B220" s="40">
        <f t="shared" si="3"/>
        <v>45292</v>
      </c>
      <c r="C220">
        <v>45</v>
      </c>
      <c r="D220" t="str" cm="1">
        <f t="array" ref="D220">_xlfn.IFS($C220=45,"Motor Vehicles &amp; Motorcycles",$C220=46,"Wholesale Trade",$C220=47,"Retail Trade")</f>
        <v>Motor Vehicles &amp; Motorcycles</v>
      </c>
      <c r="E220" s="16">
        <v>17615</v>
      </c>
      <c r="F220">
        <v>132</v>
      </c>
      <c r="G220">
        <v>134</v>
      </c>
    </row>
    <row r="221" spans="1:7">
      <c r="A221" s="39">
        <v>45292</v>
      </c>
      <c r="B221" s="40">
        <f t="shared" si="3"/>
        <v>45292</v>
      </c>
      <c r="C221">
        <v>46</v>
      </c>
      <c r="D221" t="str" cm="1">
        <f t="array" ref="D221">_xlfn.IFS($C221=45,"Motor Vehicles &amp; Motorcycles",$C221=46,"Wholesale Trade",$C221=47,"Retail Trade")</f>
        <v>Wholesale Trade</v>
      </c>
      <c r="E221" s="16">
        <v>63687</v>
      </c>
      <c r="F221">
        <v>140</v>
      </c>
      <c r="G221">
        <v>138</v>
      </c>
    </row>
    <row r="222" spans="1:7">
      <c r="A222" s="39">
        <v>45292</v>
      </c>
      <c r="B222" s="40">
        <f t="shared" si="3"/>
        <v>45292</v>
      </c>
      <c r="C222">
        <v>47</v>
      </c>
      <c r="D222" t="str" cm="1">
        <f t="array" ref="D222">_xlfn.IFS($C222=45,"Motor Vehicles &amp; Motorcycles",$C222=46,"Wholesale Trade",$C222=47,"Retail Trade")</f>
        <v>Retail Trade</v>
      </c>
      <c r="E222" s="16">
        <v>61106</v>
      </c>
      <c r="F222">
        <v>173</v>
      </c>
      <c r="G222">
        <v>173</v>
      </c>
    </row>
    <row r="223" spans="1:7">
      <c r="A223" s="39">
        <v>45323</v>
      </c>
      <c r="B223" s="40">
        <f t="shared" si="3"/>
        <v>45323</v>
      </c>
      <c r="C223">
        <v>45</v>
      </c>
      <c r="D223" t="str" cm="1">
        <f t="array" ref="D223">_xlfn.IFS($C223=45,"Motor Vehicles &amp; Motorcycles",$C223=46,"Wholesale Trade",$C223=47,"Retail Trade")</f>
        <v>Motor Vehicles &amp; Motorcycles</v>
      </c>
      <c r="E223" s="16">
        <v>17371</v>
      </c>
      <c r="F223">
        <v>130</v>
      </c>
      <c r="G223">
        <v>130</v>
      </c>
    </row>
    <row r="224" spans="1:7">
      <c r="A224" s="39">
        <v>45323</v>
      </c>
      <c r="B224" s="40">
        <f t="shared" si="3"/>
        <v>45323</v>
      </c>
      <c r="C224">
        <v>46</v>
      </c>
      <c r="D224" t="str" cm="1">
        <f t="array" ref="D224">_xlfn.IFS($C224=45,"Motor Vehicles &amp; Motorcycles",$C224=46,"Wholesale Trade",$C224=47,"Retail Trade")</f>
        <v>Wholesale Trade</v>
      </c>
      <c r="E224" s="16">
        <v>62202</v>
      </c>
      <c r="F224">
        <v>137</v>
      </c>
      <c r="G224">
        <v>140</v>
      </c>
    </row>
    <row r="225" spans="1:7">
      <c r="A225" s="39">
        <v>45323</v>
      </c>
      <c r="B225" s="40">
        <f t="shared" si="3"/>
        <v>45323</v>
      </c>
      <c r="C225">
        <v>47</v>
      </c>
      <c r="D225" t="str" cm="1">
        <f t="array" ref="D225">_xlfn.IFS($C225=45,"Motor Vehicles &amp; Motorcycles",$C225=46,"Wholesale Trade",$C225=47,"Retail Trade")</f>
        <v>Retail Trade</v>
      </c>
      <c r="E225" s="16">
        <v>61533</v>
      </c>
      <c r="F225">
        <v>174</v>
      </c>
      <c r="G225">
        <v>177</v>
      </c>
    </row>
    <row r="226" spans="1:7">
      <c r="A226" s="39">
        <v>45352</v>
      </c>
      <c r="B226" s="40">
        <f t="shared" si="3"/>
        <v>45352</v>
      </c>
      <c r="C226">
        <v>45</v>
      </c>
      <c r="D226" t="str" cm="1">
        <f t="array" ref="D226">_xlfn.IFS($C226=45,"Motor Vehicles &amp; Motorcycles",$C226=46,"Wholesale Trade",$C226=47,"Retail Trade")</f>
        <v>Motor Vehicles &amp; Motorcycles</v>
      </c>
      <c r="E226" s="16">
        <v>18813</v>
      </c>
      <c r="F226">
        <v>140</v>
      </c>
      <c r="G226">
        <v>117</v>
      </c>
    </row>
    <row r="227" spans="1:7">
      <c r="A227" s="39">
        <v>45352</v>
      </c>
      <c r="B227" s="40">
        <f t="shared" si="3"/>
        <v>45352</v>
      </c>
      <c r="C227">
        <v>46</v>
      </c>
      <c r="D227" t="str" cm="1">
        <f t="array" ref="D227">_xlfn.IFS($C227=45,"Motor Vehicles &amp; Motorcycles",$C227=46,"Wholesale Trade",$C227=47,"Retail Trade")</f>
        <v>Wholesale Trade</v>
      </c>
      <c r="E227" s="16">
        <v>64081</v>
      </c>
      <c r="F227">
        <v>140</v>
      </c>
      <c r="G227">
        <v>140</v>
      </c>
    </row>
    <row r="228" spans="1:7">
      <c r="A228" s="39">
        <v>45352</v>
      </c>
      <c r="B228" s="40">
        <f t="shared" si="3"/>
        <v>45352</v>
      </c>
      <c r="C228">
        <v>47</v>
      </c>
      <c r="D228" t="str" cm="1">
        <f t="array" ref="D228">_xlfn.IFS($C228=45,"Motor Vehicles &amp; Motorcycles",$C228=46,"Wholesale Trade",$C228=47,"Retail Trade")</f>
        <v>Retail Trade</v>
      </c>
      <c r="E228" s="16">
        <v>62830</v>
      </c>
      <c r="F228">
        <v>178</v>
      </c>
      <c r="G228">
        <v>178</v>
      </c>
    </row>
    <row r="229" spans="1:7">
      <c r="A229" s="39">
        <v>45383</v>
      </c>
      <c r="B229" s="40">
        <f t="shared" si="3"/>
        <v>45383</v>
      </c>
      <c r="C229">
        <v>45</v>
      </c>
      <c r="D229" t="str" cm="1">
        <f t="array" ref="D229">_xlfn.IFS($C229=45,"Motor Vehicles &amp; Motorcycles",$C229=46,"Wholesale Trade",$C229=47,"Retail Trade")</f>
        <v>Motor Vehicles &amp; Motorcycles</v>
      </c>
      <c r="E229" s="16">
        <v>17270</v>
      </c>
      <c r="F229">
        <v>129</v>
      </c>
      <c r="G229">
        <v>120</v>
      </c>
    </row>
    <row r="230" spans="1:7">
      <c r="A230" s="39">
        <v>45383</v>
      </c>
      <c r="B230" s="40">
        <f t="shared" si="3"/>
        <v>45383</v>
      </c>
      <c r="C230">
        <v>46</v>
      </c>
      <c r="D230" t="str" cm="1">
        <f t="array" ref="D230">_xlfn.IFS($C230=45,"Motor Vehicles &amp; Motorcycles",$C230=46,"Wholesale Trade",$C230=47,"Retail Trade")</f>
        <v>Wholesale Trade</v>
      </c>
      <c r="E230" s="16">
        <v>63837</v>
      </c>
      <c r="F230">
        <v>139</v>
      </c>
      <c r="G230">
        <v>139</v>
      </c>
    </row>
    <row r="231" spans="1:7">
      <c r="A231" s="39">
        <v>45383</v>
      </c>
      <c r="B231" s="40">
        <f t="shared" si="3"/>
        <v>45383</v>
      </c>
      <c r="C231">
        <v>47</v>
      </c>
      <c r="D231" t="str" cm="1">
        <f t="array" ref="D231">_xlfn.IFS($C231=45,"Motor Vehicles &amp; Motorcycles",$C231=46,"Wholesale Trade",$C231=47,"Retail Trade")</f>
        <v>Retail Trade</v>
      </c>
      <c r="E231" s="16">
        <v>63790</v>
      </c>
      <c r="F231">
        <v>179</v>
      </c>
      <c r="G231">
        <v>178</v>
      </c>
    </row>
    <row r="232" spans="1:7">
      <c r="A232" s="39">
        <v>45413</v>
      </c>
      <c r="B232" s="40">
        <f t="shared" si="3"/>
        <v>45413</v>
      </c>
      <c r="C232">
        <v>45</v>
      </c>
      <c r="D232" t="str" cm="1">
        <f t="array" ref="D232">_xlfn.IFS($C232=45,"Motor Vehicles &amp; Motorcycles",$C232=46,"Wholesale Trade",$C232=47,"Retail Trade")</f>
        <v>Motor Vehicles &amp; Motorcycles</v>
      </c>
      <c r="E232" s="16">
        <v>18782</v>
      </c>
      <c r="F232">
        <v>140</v>
      </c>
      <c r="G232">
        <v>169</v>
      </c>
    </row>
    <row r="233" spans="1:7">
      <c r="A233" s="39">
        <v>45413</v>
      </c>
      <c r="B233" s="40">
        <f t="shared" si="3"/>
        <v>45413</v>
      </c>
      <c r="C233">
        <v>46</v>
      </c>
      <c r="D233" t="str" cm="1">
        <f t="array" ref="D233">_xlfn.IFS($C233=45,"Motor Vehicles &amp; Motorcycles",$C233=46,"Wholesale Trade",$C233=47,"Retail Trade")</f>
        <v>Wholesale Trade</v>
      </c>
      <c r="E233" s="16">
        <v>65112</v>
      </c>
      <c r="F233">
        <v>142</v>
      </c>
      <c r="G233">
        <v>142</v>
      </c>
    </row>
    <row r="234" spans="1:7">
      <c r="A234" s="39">
        <v>45413</v>
      </c>
      <c r="B234" s="40">
        <f t="shared" si="3"/>
        <v>45413</v>
      </c>
      <c r="C234">
        <v>47</v>
      </c>
      <c r="D234" t="str" cm="1">
        <f t="array" ref="D234">_xlfn.IFS($C234=45,"Motor Vehicles &amp; Motorcycles",$C234=46,"Wholesale Trade",$C234=47,"Retail Trade")</f>
        <v>Retail Trade</v>
      </c>
      <c r="E234" s="16">
        <v>63957</v>
      </c>
      <c r="F234">
        <v>179</v>
      </c>
      <c r="G234">
        <v>178</v>
      </c>
    </row>
    <row r="235" spans="1:7">
      <c r="A235" s="39">
        <v>45444</v>
      </c>
      <c r="B235" s="40">
        <f t="shared" si="3"/>
        <v>45444</v>
      </c>
      <c r="C235">
        <v>45</v>
      </c>
      <c r="D235" t="str" cm="1">
        <f t="array" ref="D235">_xlfn.IFS($C235=45,"Motor Vehicles &amp; Motorcycles",$C235=46,"Wholesale Trade",$C235=47,"Retail Trade")</f>
        <v>Motor Vehicles &amp; Motorcycles</v>
      </c>
      <c r="E235" s="16">
        <v>17009</v>
      </c>
      <c r="F235">
        <v>127</v>
      </c>
      <c r="G235">
        <v>143</v>
      </c>
    </row>
    <row r="236" spans="1:7">
      <c r="A236" s="39">
        <v>45444</v>
      </c>
      <c r="B236" s="40">
        <f t="shared" si="3"/>
        <v>45444</v>
      </c>
      <c r="C236">
        <v>46</v>
      </c>
      <c r="D236" t="str" cm="1">
        <f t="array" ref="D236">_xlfn.IFS($C236=45,"Motor Vehicles &amp; Motorcycles",$C236=46,"Wholesale Trade",$C236=47,"Retail Trade")</f>
        <v>Wholesale Trade</v>
      </c>
      <c r="E236" s="16">
        <v>64893</v>
      </c>
      <c r="F236">
        <v>142</v>
      </c>
      <c r="G236">
        <v>143</v>
      </c>
    </row>
    <row r="237" spans="1:7">
      <c r="A237" s="39">
        <v>45444</v>
      </c>
      <c r="B237" s="40">
        <f t="shared" si="3"/>
        <v>45444</v>
      </c>
      <c r="C237">
        <v>47</v>
      </c>
      <c r="D237" t="str" cm="1">
        <f t="array" ref="D237">_xlfn.IFS($C237=45,"Motor Vehicles &amp; Motorcycles",$C237=46,"Wholesale Trade",$C237=47,"Retail Trade")</f>
        <v>Retail Trade</v>
      </c>
      <c r="E237" s="16">
        <v>64094</v>
      </c>
      <c r="F237">
        <v>180</v>
      </c>
      <c r="G237">
        <v>180</v>
      </c>
    </row>
    <row r="238" spans="1:7">
      <c r="A238" s="39">
        <v>45474</v>
      </c>
      <c r="B238" s="40">
        <f t="shared" si="3"/>
        <v>45474</v>
      </c>
      <c r="C238">
        <v>45</v>
      </c>
      <c r="D238" t="str" cm="1">
        <f t="array" ref="D238">_xlfn.IFS($C238=45,"Motor Vehicles &amp; Motorcycles",$C238=46,"Wholesale Trade",$C238=47,"Retail Trade")</f>
        <v>Motor Vehicles &amp; Motorcycles</v>
      </c>
      <c r="E238" s="16">
        <v>18988</v>
      </c>
      <c r="F238">
        <v>141</v>
      </c>
      <c r="G238">
        <v>163</v>
      </c>
    </row>
    <row r="239" spans="1:7">
      <c r="A239" s="39">
        <v>45474</v>
      </c>
      <c r="B239" s="40">
        <f t="shared" si="3"/>
        <v>45474</v>
      </c>
      <c r="C239">
        <v>46</v>
      </c>
      <c r="D239" t="str" cm="1">
        <f t="array" ref="D239">_xlfn.IFS($C239=45,"Motor Vehicles &amp; Motorcycles",$C239=46,"Wholesale Trade",$C239=47,"Retail Trade")</f>
        <v>Wholesale Trade</v>
      </c>
      <c r="E239" s="16">
        <v>66562</v>
      </c>
      <c r="F239">
        <v>146</v>
      </c>
      <c r="G239">
        <v>147</v>
      </c>
    </row>
    <row r="240" spans="1:7">
      <c r="A240" s="39">
        <v>45474</v>
      </c>
      <c r="B240" s="40">
        <f t="shared" si="3"/>
        <v>45474</v>
      </c>
      <c r="C240">
        <v>47</v>
      </c>
      <c r="D240" t="str" cm="1">
        <f t="array" ref="D240">_xlfn.IFS($C240=45,"Motor Vehicles &amp; Motorcycles",$C240=46,"Wholesale Trade",$C240=47,"Retail Trade")</f>
        <v>Retail Trade</v>
      </c>
      <c r="E240" s="16">
        <v>63480</v>
      </c>
      <c r="F240">
        <v>178</v>
      </c>
      <c r="G240">
        <v>180</v>
      </c>
    </row>
    <row r="241" spans="1:7">
      <c r="A241" s="39">
        <v>45505</v>
      </c>
      <c r="B241" s="40">
        <f t="shared" si="3"/>
        <v>45505</v>
      </c>
      <c r="C241">
        <v>45</v>
      </c>
      <c r="D241" t="str" cm="1">
        <f t="array" ref="D241">_xlfn.IFS($C241=45,"Motor Vehicles &amp; Motorcycles",$C241=46,"Wholesale Trade",$C241=47,"Retail Trade")</f>
        <v>Motor Vehicles &amp; Motorcycles</v>
      </c>
      <c r="E241" s="16">
        <v>18867</v>
      </c>
      <c r="F241">
        <v>140</v>
      </c>
      <c r="G241">
        <v>154</v>
      </c>
    </row>
    <row r="242" spans="1:7">
      <c r="A242" s="39">
        <v>45505</v>
      </c>
      <c r="B242" s="40">
        <f t="shared" si="3"/>
        <v>45505</v>
      </c>
      <c r="C242">
        <v>46</v>
      </c>
      <c r="D242" t="str" cm="1">
        <f t="array" ref="D242">_xlfn.IFS($C242=45,"Motor Vehicles &amp; Motorcycles",$C242=46,"Wholesale Trade",$C242=47,"Retail Trade")</f>
        <v>Wholesale Trade</v>
      </c>
      <c r="E242" s="16">
        <v>66238</v>
      </c>
      <c r="F242">
        <v>146</v>
      </c>
      <c r="G242">
        <v>146</v>
      </c>
    </row>
    <row r="243" spans="1:7">
      <c r="A243" s="39">
        <v>45505</v>
      </c>
      <c r="B243" s="40">
        <f t="shared" si="3"/>
        <v>45505</v>
      </c>
      <c r="C243">
        <v>47</v>
      </c>
      <c r="D243" t="str" cm="1">
        <f t="array" ref="D243">_xlfn.IFS($C243=45,"Motor Vehicles &amp; Motorcycles",$C243=46,"Wholesale Trade",$C243=47,"Retail Trade")</f>
        <v>Retail Trade</v>
      </c>
      <c r="E243" s="16">
        <v>64120</v>
      </c>
      <c r="F243">
        <v>180</v>
      </c>
      <c r="G243">
        <v>182</v>
      </c>
    </row>
    <row r="244" spans="1:7">
      <c r="A244" s="39">
        <v>45536</v>
      </c>
      <c r="B244" s="40">
        <f t="shared" si="3"/>
        <v>45536</v>
      </c>
      <c r="C244">
        <v>45</v>
      </c>
      <c r="D244" t="str" cm="1">
        <f t="array" ref="D244">_xlfn.IFS($C244=45,"Motor Vehicles &amp; Motorcycles",$C244=46,"Wholesale Trade",$C244=47,"Retail Trade")</f>
        <v>Motor Vehicles &amp; Motorcycles</v>
      </c>
      <c r="E244" s="16">
        <v>17292</v>
      </c>
      <c r="F244">
        <v>128</v>
      </c>
      <c r="G244">
        <v>136</v>
      </c>
    </row>
    <row r="245" spans="1:7">
      <c r="A245" s="39">
        <v>45536</v>
      </c>
      <c r="B245" s="40">
        <f t="shared" si="3"/>
        <v>45536</v>
      </c>
      <c r="C245">
        <v>46</v>
      </c>
      <c r="D245" t="str" cm="1">
        <f t="array" ref="D245">_xlfn.IFS($C245=45,"Motor Vehicles &amp; Motorcycles",$C245=46,"Wholesale Trade",$C245=47,"Retail Trade")</f>
        <v>Wholesale Trade</v>
      </c>
      <c r="E245" s="16">
        <v>66471</v>
      </c>
      <c r="F245">
        <v>147</v>
      </c>
      <c r="G245">
        <v>146</v>
      </c>
    </row>
    <row r="246" spans="1:7">
      <c r="A246" s="39">
        <v>45536</v>
      </c>
      <c r="B246" s="40">
        <f t="shared" si="3"/>
        <v>45536</v>
      </c>
      <c r="C246">
        <v>47</v>
      </c>
      <c r="D246" t="str" cm="1">
        <f t="array" ref="D246">_xlfn.IFS($C246=45,"Motor Vehicles &amp; Motorcycles",$C246=46,"Wholesale Trade",$C246=47,"Retail Trade")</f>
        <v>Retail Trade</v>
      </c>
      <c r="E246" s="16">
        <v>64417</v>
      </c>
      <c r="F246">
        <v>181</v>
      </c>
      <c r="G246">
        <v>182</v>
      </c>
    </row>
    <row r="247" spans="1:7">
      <c r="A247" s="39">
        <v>45566</v>
      </c>
      <c r="B247" s="40">
        <f t="shared" si="3"/>
        <v>45566</v>
      </c>
      <c r="C247">
        <v>45</v>
      </c>
      <c r="D247" t="str" cm="1">
        <f t="array" ref="D247">_xlfn.IFS($C247=45,"Motor Vehicles &amp; Motorcycles",$C247=46,"Wholesale Trade",$C247=47,"Retail Trade")</f>
        <v>Motor Vehicles &amp; Motorcycles</v>
      </c>
      <c r="E247" s="16">
        <v>18873</v>
      </c>
      <c r="F247">
        <v>139</v>
      </c>
      <c r="G247">
        <v>134</v>
      </c>
    </row>
    <row r="248" spans="1:7">
      <c r="A248" s="39">
        <v>45566</v>
      </c>
      <c r="B248" s="40">
        <f t="shared" si="3"/>
        <v>45566</v>
      </c>
      <c r="C248">
        <v>46</v>
      </c>
      <c r="D248" t="str" cm="1">
        <f t="array" ref="D248">_xlfn.IFS($C248=45,"Motor Vehicles &amp; Motorcycles",$C248=46,"Wholesale Trade",$C248=47,"Retail Trade")</f>
        <v>Wholesale Trade</v>
      </c>
      <c r="E248" s="16">
        <v>66338</v>
      </c>
      <c r="F248">
        <v>147</v>
      </c>
      <c r="G248">
        <v>146</v>
      </c>
    </row>
    <row r="249" spans="1:7">
      <c r="A249" s="39">
        <v>45566</v>
      </c>
      <c r="B249" s="40">
        <f t="shared" si="3"/>
        <v>45566</v>
      </c>
      <c r="C249">
        <v>47</v>
      </c>
      <c r="D249" t="str" cm="1">
        <f t="array" ref="D249">_xlfn.IFS($C249=45,"Motor Vehicles &amp; Motorcycles",$C249=46,"Wholesale Trade",$C249=47,"Retail Trade")</f>
        <v>Retail Trade</v>
      </c>
      <c r="E249" s="16">
        <v>64908</v>
      </c>
      <c r="F249">
        <v>182</v>
      </c>
      <c r="G249">
        <v>181</v>
      </c>
    </row>
    <row r="250" spans="1:7">
      <c r="A250" s="39">
        <v>45597</v>
      </c>
      <c r="B250" s="40">
        <f t="shared" si="3"/>
        <v>45597</v>
      </c>
      <c r="C250">
        <v>45</v>
      </c>
      <c r="D250" t="str" cm="1">
        <f t="array" ref="D250">_xlfn.IFS($C250=45,"Motor Vehicles &amp; Motorcycles",$C250=46,"Wholesale Trade",$C250=47,"Retail Trade")</f>
        <v>Motor Vehicles &amp; Motorcycles</v>
      </c>
      <c r="E250" s="16">
        <v>18328</v>
      </c>
      <c r="F250">
        <v>135</v>
      </c>
      <c r="G250">
        <v>125</v>
      </c>
    </row>
    <row r="251" spans="1:7">
      <c r="A251" s="39">
        <v>45597</v>
      </c>
      <c r="B251" s="40">
        <f t="shared" si="3"/>
        <v>45597</v>
      </c>
      <c r="C251">
        <v>46</v>
      </c>
      <c r="D251" t="str" cm="1">
        <f t="array" ref="D251">_xlfn.IFS($C251=45,"Motor Vehicles &amp; Motorcycles",$C251=46,"Wholesale Trade",$C251=47,"Retail Trade")</f>
        <v>Wholesale Trade</v>
      </c>
      <c r="E251" s="16">
        <v>66157</v>
      </c>
      <c r="F251">
        <v>146</v>
      </c>
      <c r="G251">
        <v>145</v>
      </c>
    </row>
    <row r="252" spans="1:7">
      <c r="A252" s="39">
        <v>45597</v>
      </c>
      <c r="B252" s="40">
        <f t="shared" si="3"/>
        <v>45597</v>
      </c>
      <c r="C252">
        <v>47</v>
      </c>
      <c r="D252" t="str" cm="1">
        <f t="array" ref="D252">_xlfn.IFS($C252=45,"Motor Vehicles &amp; Motorcycles",$C252=46,"Wholesale Trade",$C252=47,"Retail Trade")</f>
        <v>Retail Trade</v>
      </c>
      <c r="E252" s="16">
        <v>64847</v>
      </c>
      <c r="F252">
        <v>182</v>
      </c>
      <c r="G252">
        <v>180</v>
      </c>
    </row>
    <row r="253" spans="1:7">
      <c r="A253" s="39">
        <v>45627</v>
      </c>
      <c r="B253" s="40">
        <f t="shared" si="3"/>
        <v>45627</v>
      </c>
      <c r="C253">
        <v>45</v>
      </c>
      <c r="D253" t="str" cm="1">
        <f t="array" ref="D253">_xlfn.IFS($C253=45,"Motor Vehicles &amp; Motorcycles",$C253=46,"Wholesale Trade",$C253=47,"Retail Trade")</f>
        <v>Motor Vehicles &amp; Motorcycles</v>
      </c>
      <c r="E253" s="16">
        <v>19850</v>
      </c>
      <c r="F253">
        <v>146</v>
      </c>
      <c r="G253">
        <v>129</v>
      </c>
    </row>
    <row r="254" spans="1:7">
      <c r="A254" s="39">
        <v>45627</v>
      </c>
      <c r="B254" s="40">
        <f t="shared" si="3"/>
        <v>45627</v>
      </c>
      <c r="C254">
        <v>46</v>
      </c>
      <c r="D254" t="str" cm="1">
        <f t="array" ref="D254">_xlfn.IFS($C254=45,"Motor Vehicles &amp; Motorcycles",$C254=46,"Wholesale Trade",$C254=47,"Retail Trade")</f>
        <v>Wholesale Trade</v>
      </c>
      <c r="E254" s="16">
        <v>66502</v>
      </c>
      <c r="F254">
        <v>145</v>
      </c>
      <c r="G254">
        <v>145</v>
      </c>
    </row>
    <row r="255" spans="1:7">
      <c r="A255" s="39">
        <v>45627</v>
      </c>
      <c r="B255" s="40">
        <f t="shared" si="3"/>
        <v>45627</v>
      </c>
      <c r="C255">
        <v>47</v>
      </c>
      <c r="D255" t="str" cm="1">
        <f t="array" ref="D255">_xlfn.IFS($C255=45,"Motor Vehicles &amp; Motorcycles",$C255=46,"Wholesale Trade",$C255=47,"Retail Trade")</f>
        <v>Retail Trade</v>
      </c>
      <c r="E255" s="16">
        <v>65819</v>
      </c>
      <c r="F255">
        <v>184</v>
      </c>
      <c r="G255">
        <v>181</v>
      </c>
    </row>
    <row r="256" spans="1:7">
      <c r="A256" s="39">
        <v>45658</v>
      </c>
      <c r="B256" s="40">
        <f t="shared" si="3"/>
        <v>45658</v>
      </c>
      <c r="C256">
        <v>45</v>
      </c>
      <c r="D256" t="str" cm="1">
        <f t="array" ref="D256">_xlfn.IFS($C256=45,"Motor Vehicles &amp; Motorcycles",$C256=46,"Wholesale Trade",$C256=47,"Retail Trade")</f>
        <v>Motor Vehicles &amp; Motorcycles</v>
      </c>
      <c r="E256" s="16">
        <v>16009</v>
      </c>
      <c r="F256">
        <v>117</v>
      </c>
      <c r="G256">
        <v>117</v>
      </c>
    </row>
    <row r="257" spans="1:7">
      <c r="A257" s="39">
        <v>45658</v>
      </c>
      <c r="B257" s="40">
        <f t="shared" si="3"/>
        <v>45658</v>
      </c>
      <c r="C257">
        <v>46</v>
      </c>
      <c r="D257" t="str" cm="1">
        <f t="array" ref="D257">_xlfn.IFS($C257=45,"Motor Vehicles &amp; Motorcycles",$C257=46,"Wholesale Trade",$C257=47,"Retail Trade")</f>
        <v>Wholesale Trade</v>
      </c>
      <c r="E257" s="16">
        <v>66783</v>
      </c>
      <c r="F257">
        <v>146</v>
      </c>
      <c r="G257">
        <v>146</v>
      </c>
    </row>
    <row r="258" spans="1:7">
      <c r="A258" s="39">
        <v>45658</v>
      </c>
      <c r="B258" s="40">
        <f t="shared" si="3"/>
        <v>45658</v>
      </c>
      <c r="C258">
        <v>47</v>
      </c>
      <c r="D258" t="str" cm="1">
        <f t="array" ref="D258">_xlfn.IFS($C258=45,"Motor Vehicles &amp; Motorcycles",$C258=46,"Wholesale Trade",$C258=47,"Retail Trade")</f>
        <v>Retail Trade</v>
      </c>
      <c r="E258" s="16">
        <v>66118</v>
      </c>
      <c r="F258">
        <v>185</v>
      </c>
      <c r="G258">
        <v>185</v>
      </c>
    </row>
    <row r="259" spans="1:7">
      <c r="A259" s="39">
        <v>45689</v>
      </c>
      <c r="B259" s="40">
        <f t="shared" si="3"/>
        <v>45689</v>
      </c>
      <c r="C259">
        <v>45</v>
      </c>
      <c r="D259" t="str" cm="1">
        <f t="array" ref="D259">_xlfn.IFS($C259=45,"Motor Vehicles &amp; Motorcycles",$C259=46,"Wholesale Trade",$C259=47,"Retail Trade")</f>
        <v>Motor Vehicles &amp; Motorcycles</v>
      </c>
      <c r="E259" s="16">
        <v>17626</v>
      </c>
      <c r="F259">
        <v>129</v>
      </c>
      <c r="G259">
        <v>129</v>
      </c>
    </row>
    <row r="260" spans="1:7">
      <c r="A260" s="39">
        <v>45689</v>
      </c>
      <c r="B260" s="40">
        <f t="shared" si="3"/>
        <v>45689</v>
      </c>
      <c r="C260">
        <v>46</v>
      </c>
      <c r="D260" t="str" cm="1">
        <f t="array" ref="D260">_xlfn.IFS($C260=45,"Motor Vehicles &amp; Motorcycles",$C260=46,"Wholesale Trade",$C260=47,"Retail Trade")</f>
        <v>Wholesale Trade</v>
      </c>
      <c r="E260" s="16">
        <v>65799</v>
      </c>
      <c r="F260">
        <v>144</v>
      </c>
      <c r="G260">
        <v>144</v>
      </c>
    </row>
    <row r="261" spans="1:7">
      <c r="A261" s="39">
        <v>45689</v>
      </c>
      <c r="B261" s="40">
        <f t="shared" ref="B261:B309" si="4">$A261</f>
        <v>45689</v>
      </c>
      <c r="C261">
        <v>47</v>
      </c>
      <c r="D261" t="str" cm="1">
        <f t="array" ref="D261">_xlfn.IFS($C261=45,"Motor Vehicles &amp; Motorcycles",$C261=46,"Wholesale Trade",$C261=47,"Retail Trade")</f>
        <v>Retail Trade</v>
      </c>
      <c r="E261" s="16">
        <v>65070</v>
      </c>
      <c r="F261">
        <v>181</v>
      </c>
      <c r="G261">
        <v>181</v>
      </c>
    </row>
    <row r="262" spans="1:7">
      <c r="A262" s="39">
        <v>45717</v>
      </c>
      <c r="B262" s="40">
        <f t="shared" si="4"/>
        <v>45717</v>
      </c>
      <c r="C262">
        <v>45</v>
      </c>
      <c r="D262" t="str" cm="1">
        <f t="array" ref="D262">_xlfn.IFS($C262=45,"Motor Vehicles &amp; Motorcycles",$C262=46,"Wholesale Trade",$C262=47,"Retail Trade")</f>
        <v>Motor Vehicles &amp; Motorcycles</v>
      </c>
      <c r="E262" s="16">
        <v>19243</v>
      </c>
      <c r="F262">
        <v>141</v>
      </c>
      <c r="G262">
        <v>141</v>
      </c>
    </row>
    <row r="263" spans="1:7">
      <c r="A263" s="39">
        <v>45717</v>
      </c>
      <c r="B263" s="40">
        <f t="shared" si="4"/>
        <v>45717</v>
      </c>
      <c r="C263">
        <v>46</v>
      </c>
      <c r="D263" t="str" cm="1">
        <f t="array" ref="D263">_xlfn.IFS($C263=45,"Motor Vehicles &amp; Motorcycles",$C263=46,"Wholesale Trade",$C263=47,"Retail Trade")</f>
        <v>Wholesale Trade</v>
      </c>
      <c r="E263" s="16">
        <v>67755</v>
      </c>
      <c r="F263">
        <v>148</v>
      </c>
      <c r="G263">
        <v>148</v>
      </c>
    </row>
    <row r="264" spans="1:7">
      <c r="A264" s="39">
        <v>45717</v>
      </c>
      <c r="B264" s="40">
        <f t="shared" si="4"/>
        <v>45717</v>
      </c>
      <c r="C264">
        <v>47</v>
      </c>
      <c r="D264" t="str" cm="1">
        <f t="array" ref="D264">_xlfn.IFS($C264=45,"Motor Vehicles &amp; Motorcycles",$C264=46,"Wholesale Trade",$C264=47,"Retail Trade")</f>
        <v>Retail Trade</v>
      </c>
      <c r="E264" s="16">
        <v>66984</v>
      </c>
      <c r="F264">
        <v>186</v>
      </c>
      <c r="G264">
        <v>186</v>
      </c>
    </row>
    <row r="265" spans="1:7">
      <c r="A265" s="39">
        <v>45748</v>
      </c>
      <c r="B265" s="40">
        <f t="shared" si="4"/>
        <v>45748</v>
      </c>
      <c r="C265">
        <v>45</v>
      </c>
      <c r="D265" t="str" cm="1">
        <f t="array" ref="D265">_xlfn.IFS($C265=45,"Motor Vehicles &amp; Motorcycles",$C265=46,"Wholesale Trade",$C265=47,"Retail Trade")</f>
        <v>Motor Vehicles &amp; Motorcycles</v>
      </c>
      <c r="E265" s="16">
        <v>17626</v>
      </c>
      <c r="F265">
        <v>130</v>
      </c>
      <c r="G265">
        <v>130</v>
      </c>
    </row>
    <row r="266" spans="1:7">
      <c r="A266" s="39">
        <v>45748</v>
      </c>
      <c r="B266" s="40">
        <f t="shared" si="4"/>
        <v>45748</v>
      </c>
      <c r="C266">
        <v>46</v>
      </c>
      <c r="D266" t="str" cm="1">
        <f t="array" ref="D266">_xlfn.IFS($C266=45,"Motor Vehicles &amp; Motorcycles",$C266=46,"Wholesale Trade",$C266=47,"Retail Trade")</f>
        <v>Wholesale Trade</v>
      </c>
      <c r="E266" s="16">
        <v>67321</v>
      </c>
      <c r="F266">
        <v>148</v>
      </c>
      <c r="G266">
        <v>148</v>
      </c>
    </row>
    <row r="267" spans="1:7">
      <c r="A267" s="39">
        <v>45748</v>
      </c>
      <c r="B267" s="40">
        <f t="shared" si="4"/>
        <v>45748</v>
      </c>
      <c r="C267">
        <v>47</v>
      </c>
      <c r="D267" t="str" cm="1">
        <f t="array" ref="D267">_xlfn.IFS($C267=45,"Motor Vehicles &amp; Motorcycles",$C267=46,"Wholesale Trade",$C267=47,"Retail Trade")</f>
        <v>Retail Trade</v>
      </c>
      <c r="E267" s="16">
        <v>66759</v>
      </c>
      <c r="F267">
        <v>185</v>
      </c>
      <c r="G267">
        <v>185</v>
      </c>
    </row>
    <row r="268" spans="1:7">
      <c r="A268" s="39">
        <v>45778</v>
      </c>
      <c r="B268" s="40">
        <f t="shared" si="4"/>
        <v>45778</v>
      </c>
      <c r="C268">
        <v>45</v>
      </c>
      <c r="D268" t="str" cm="1">
        <f t="array" ref="D268">_xlfn.IFS($C268=45,"Motor Vehicles &amp; Motorcycles",$C268=46,"Wholesale Trade",$C268=47,"Retail Trade")</f>
        <v>Motor Vehicles &amp; Motorcycles</v>
      </c>
      <c r="E268" s="16">
        <v>19069</v>
      </c>
      <c r="F268">
        <v>141</v>
      </c>
      <c r="G268">
        <v>141</v>
      </c>
    </row>
    <row r="269" spans="1:7">
      <c r="A269" s="39">
        <v>45778</v>
      </c>
      <c r="B269" s="40">
        <f t="shared" si="4"/>
        <v>45778</v>
      </c>
      <c r="C269">
        <v>46</v>
      </c>
      <c r="D269" t="str" cm="1">
        <f t="array" ref="D269">_xlfn.IFS($C269=45,"Motor Vehicles &amp; Motorcycles",$C269=46,"Wholesale Trade",$C269=47,"Retail Trade")</f>
        <v>Wholesale Trade</v>
      </c>
      <c r="E269" s="16">
        <v>68204</v>
      </c>
      <c r="F269">
        <v>150</v>
      </c>
      <c r="G269">
        <v>150</v>
      </c>
    </row>
    <row r="270" spans="1:7">
      <c r="A270" s="39">
        <v>45778</v>
      </c>
      <c r="B270" s="40">
        <f t="shared" si="4"/>
        <v>45778</v>
      </c>
      <c r="C270">
        <v>47</v>
      </c>
      <c r="D270" t="str" cm="1">
        <f t="array" ref="D270">_xlfn.IFS($C270=45,"Motor Vehicles &amp; Motorcycles",$C270=46,"Wholesale Trade",$C270=47,"Retail Trade")</f>
        <v>Retail Trade</v>
      </c>
      <c r="E270" s="16">
        <v>67068</v>
      </c>
      <c r="F270">
        <v>186</v>
      </c>
      <c r="G270">
        <v>186</v>
      </c>
    </row>
    <row r="271" spans="1:7">
      <c r="A271" s="39">
        <v>45809</v>
      </c>
      <c r="B271" s="40">
        <f t="shared" si="4"/>
        <v>45809</v>
      </c>
      <c r="C271">
        <v>45</v>
      </c>
      <c r="D271" t="str" cm="1">
        <f t="array" ref="D271">_xlfn.IFS($C271=45,"Motor Vehicles &amp; Motorcycles",$C271=46,"Wholesale Trade",$C271=47,"Retail Trade")</f>
        <v>Motor Vehicles &amp; Motorcycles</v>
      </c>
      <c r="E271" s="16">
        <v>17133</v>
      </c>
      <c r="F271">
        <v>126</v>
      </c>
      <c r="G271">
        <v>126</v>
      </c>
    </row>
    <row r="272" spans="1:7">
      <c r="A272" s="39">
        <v>45809</v>
      </c>
      <c r="B272" s="40">
        <f t="shared" si="4"/>
        <v>45809</v>
      </c>
      <c r="C272">
        <v>46</v>
      </c>
      <c r="D272" t="str" cm="1">
        <f t="array" ref="D272">_xlfn.IFS($C272=45,"Motor Vehicles &amp; Motorcycles",$C272=46,"Wholesale Trade",$C272=47,"Retail Trade")</f>
        <v>Wholesale Trade</v>
      </c>
      <c r="E272" s="16">
        <v>68295</v>
      </c>
      <c r="F272">
        <v>151</v>
      </c>
      <c r="G272">
        <v>151</v>
      </c>
    </row>
    <row r="273" spans="1:7">
      <c r="A273" s="39">
        <v>45809</v>
      </c>
      <c r="B273" s="40">
        <f t="shared" si="4"/>
        <v>45809</v>
      </c>
      <c r="C273">
        <v>47</v>
      </c>
      <c r="D273" t="str" cm="1">
        <f t="array" ref="D273">_xlfn.IFS($C273=45,"Motor Vehicles &amp; Motorcycles",$C273=46,"Wholesale Trade",$C273=47,"Retail Trade")</f>
        <v>Retail Trade</v>
      </c>
      <c r="E273" s="16">
        <v>67542</v>
      </c>
      <c r="F273">
        <v>187</v>
      </c>
      <c r="G273">
        <v>187</v>
      </c>
    </row>
    <row r="274" spans="1:7">
      <c r="A274" s="39">
        <v>45839</v>
      </c>
      <c r="B274" s="40">
        <f t="shared" si="4"/>
        <v>45839</v>
      </c>
      <c r="C274">
        <v>45</v>
      </c>
      <c r="D274" t="str" cm="1">
        <f t="array" ref="D274">_xlfn.IFS($C274=45,"Motor Vehicles &amp; Motorcycles",$C274=46,"Wholesale Trade",$C274=47,"Retail Trade")</f>
        <v>Motor Vehicles &amp; Motorcycles</v>
      </c>
      <c r="E274" s="16">
        <v>19286</v>
      </c>
      <c r="F274">
        <v>142</v>
      </c>
      <c r="G274">
        <v>142</v>
      </c>
    </row>
    <row r="275" spans="1:7">
      <c r="A275" s="39">
        <v>45839</v>
      </c>
      <c r="B275" s="40">
        <f t="shared" si="4"/>
        <v>45839</v>
      </c>
      <c r="C275">
        <v>46</v>
      </c>
      <c r="D275" t="str" cm="1">
        <f t="array" ref="D275">_xlfn.IFS($C275=45,"Motor Vehicles &amp; Motorcycles",$C275=46,"Wholesale Trade",$C275=47,"Retail Trade")</f>
        <v>Wholesale Trade</v>
      </c>
      <c r="E275" s="16">
        <v>70130</v>
      </c>
      <c r="F275">
        <v>155</v>
      </c>
      <c r="G275">
        <v>155</v>
      </c>
    </row>
    <row r="276" spans="1:7">
      <c r="A276" s="39">
        <v>45839</v>
      </c>
      <c r="B276" s="40">
        <f t="shared" si="4"/>
        <v>45839</v>
      </c>
      <c r="C276">
        <v>47</v>
      </c>
      <c r="D276" t="str" cm="1">
        <f t="array" ref="D276">_xlfn.IFS($C276=45,"Motor Vehicles &amp; Motorcycles",$C276=46,"Wholesale Trade",$C276=47,"Retail Trade")</f>
        <v>Retail Trade</v>
      </c>
      <c r="E276" s="16">
        <v>67013</v>
      </c>
      <c r="F276">
        <v>186</v>
      </c>
      <c r="G276">
        <v>186</v>
      </c>
    </row>
    <row r="277" spans="1:7">
      <c r="A277" s="39">
        <v>45870</v>
      </c>
      <c r="B277" s="40">
        <f t="shared" si="4"/>
        <v>45870</v>
      </c>
      <c r="C277">
        <v>45</v>
      </c>
      <c r="D277" t="str" cm="1">
        <f t="array" ref="D277">_xlfn.IFS($C277=45,"Motor Vehicles &amp; Motorcycles",$C277=46,"Wholesale Trade",$C277=47,"Retail Trade")</f>
        <v>Motor Vehicles &amp; Motorcycles</v>
      </c>
      <c r="E277" s="16">
        <v>19618</v>
      </c>
      <c r="F277">
        <v>144</v>
      </c>
      <c r="G277">
        <v>144</v>
      </c>
    </row>
    <row r="278" spans="1:7">
      <c r="A278" s="39">
        <v>45870</v>
      </c>
      <c r="B278" s="40">
        <f t="shared" si="4"/>
        <v>45870</v>
      </c>
      <c r="C278">
        <v>46</v>
      </c>
      <c r="D278" t="str" cm="1">
        <f t="array" ref="D278">_xlfn.IFS($C278=45,"Motor Vehicles &amp; Motorcycles",$C278=46,"Wholesale Trade",$C278=47,"Retail Trade")</f>
        <v>Wholesale Trade</v>
      </c>
      <c r="E278" s="16">
        <v>69642</v>
      </c>
      <c r="F278">
        <v>154</v>
      </c>
      <c r="G278">
        <v>154</v>
      </c>
    </row>
    <row r="279" spans="1:7">
      <c r="A279" s="39">
        <v>45870</v>
      </c>
      <c r="B279" s="40">
        <f t="shared" si="4"/>
        <v>45870</v>
      </c>
      <c r="C279">
        <v>47</v>
      </c>
      <c r="D279" t="str" cm="1">
        <f t="array" ref="D279">_xlfn.IFS($C279=45,"Motor Vehicles &amp; Motorcycles",$C279=46,"Wholesale Trade",$C279=47,"Retail Trade")</f>
        <v>Retail Trade</v>
      </c>
      <c r="E279" s="16">
        <v>67327</v>
      </c>
      <c r="F279">
        <v>186</v>
      </c>
      <c r="G279">
        <v>186</v>
      </c>
    </row>
    <row r="280" spans="1:7">
      <c r="A280" s="39">
        <v>45901</v>
      </c>
      <c r="B280" s="40">
        <f t="shared" si="4"/>
        <v>45901</v>
      </c>
      <c r="C280">
        <v>45</v>
      </c>
      <c r="D280" t="str" cm="1">
        <f t="array" ref="D280">_xlfn.IFS($C280=45,"Motor Vehicles &amp; Motorcycles",$C280=46,"Wholesale Trade",$C280=47,"Retail Trade")</f>
        <v>Motor Vehicles &amp; Motorcycles</v>
      </c>
      <c r="E280" s="16">
        <v>18041</v>
      </c>
      <c r="F280">
        <v>132</v>
      </c>
      <c r="G280">
        <v>132</v>
      </c>
    </row>
    <row r="281" spans="1:7">
      <c r="A281" s="39">
        <v>45901</v>
      </c>
      <c r="B281" s="40">
        <f t="shared" si="4"/>
        <v>45901</v>
      </c>
      <c r="C281">
        <v>46</v>
      </c>
      <c r="D281" t="str" cm="1">
        <f t="array" ref="D281">_xlfn.IFS($C281=45,"Motor Vehicles &amp; Motorcycles",$C281=46,"Wholesale Trade",$C281=47,"Retail Trade")</f>
        <v>Wholesale Trade</v>
      </c>
      <c r="E281" s="16">
        <v>71054</v>
      </c>
      <c r="F281">
        <v>156</v>
      </c>
      <c r="G281">
        <v>156</v>
      </c>
    </row>
    <row r="282" spans="1:7">
      <c r="A282" s="39">
        <v>45901</v>
      </c>
      <c r="B282" s="40">
        <f t="shared" si="4"/>
        <v>45901</v>
      </c>
      <c r="C282">
        <v>47</v>
      </c>
      <c r="D282" t="str" cm="1">
        <f t="array" ref="D282">_xlfn.IFS($C282=45,"Motor Vehicles &amp; Motorcycles",$C282=46,"Wholesale Trade",$C282=47,"Retail Trade")</f>
        <v>Retail Trade</v>
      </c>
      <c r="E282" s="16">
        <v>68916</v>
      </c>
      <c r="F282">
        <v>190</v>
      </c>
      <c r="G282">
        <v>190</v>
      </c>
    </row>
    <row r="283" spans="1:7">
      <c r="A283" s="39">
        <v>45931</v>
      </c>
      <c r="B283" s="40">
        <f t="shared" si="4"/>
        <v>45931</v>
      </c>
      <c r="C283">
        <v>45</v>
      </c>
      <c r="D283" t="str" cm="1">
        <f t="array" ref="D283">_xlfn.IFS($C283=45,"Motor Vehicles &amp; Motorcycles",$C283=46,"Wholesale Trade",$C283=47,"Retail Trade")</f>
        <v>Motor Vehicles &amp; Motorcycles</v>
      </c>
      <c r="E283" s="16">
        <v>20412</v>
      </c>
      <c r="F283">
        <v>149</v>
      </c>
      <c r="G283">
        <v>149</v>
      </c>
    </row>
    <row r="284" spans="1:7">
      <c r="A284" s="39">
        <v>45931</v>
      </c>
      <c r="B284" s="40">
        <f t="shared" si="4"/>
        <v>45931</v>
      </c>
      <c r="C284">
        <v>46</v>
      </c>
      <c r="D284" t="str" cm="1">
        <f t="array" ref="D284">_xlfn.IFS($C284=45,"Motor Vehicles &amp; Motorcycles",$C284=46,"Wholesale Trade",$C284=47,"Retail Trade")</f>
        <v>Wholesale Trade</v>
      </c>
      <c r="E284" s="16">
        <v>71173</v>
      </c>
      <c r="F284">
        <v>157</v>
      </c>
      <c r="G284">
        <v>157</v>
      </c>
    </row>
    <row r="285" spans="1:7">
      <c r="A285" s="39">
        <v>45931</v>
      </c>
      <c r="B285" s="40">
        <f t="shared" si="4"/>
        <v>45931</v>
      </c>
      <c r="C285">
        <v>47</v>
      </c>
      <c r="D285" t="str" cm="1">
        <f t="array" ref="D285">_xlfn.IFS($C285=45,"Motor Vehicles &amp; Motorcycles",$C285=46,"Wholesale Trade",$C285=47,"Retail Trade")</f>
        <v>Retail Trade</v>
      </c>
      <c r="E285" s="16">
        <v>69325</v>
      </c>
      <c r="F285">
        <v>190</v>
      </c>
      <c r="G285">
        <v>190</v>
      </c>
    </row>
    <row r="286" spans="1:7">
      <c r="A286" s="39">
        <v>45962</v>
      </c>
      <c r="B286" s="40">
        <f t="shared" si="4"/>
        <v>45962</v>
      </c>
      <c r="C286">
        <v>45</v>
      </c>
      <c r="D286" t="str" cm="1">
        <f t="array" ref="D286">_xlfn.IFS($C286=45,"Motor Vehicles &amp; Motorcycles",$C286=46,"Wholesale Trade",$C286=47,"Retail Trade")</f>
        <v>Motor Vehicles &amp; Motorcycles</v>
      </c>
      <c r="E286" s="16">
        <v>19790</v>
      </c>
      <c r="F286">
        <v>144</v>
      </c>
      <c r="G286">
        <v>144</v>
      </c>
    </row>
    <row r="287" spans="1:7">
      <c r="A287" s="39">
        <v>45962</v>
      </c>
      <c r="B287" s="40">
        <f t="shared" si="4"/>
        <v>45962</v>
      </c>
      <c r="C287">
        <v>46</v>
      </c>
      <c r="D287" t="str" cm="1">
        <f t="array" ref="D287">_xlfn.IFS($C287=45,"Motor Vehicles &amp; Motorcycles",$C287=46,"Wholesale Trade",$C287=47,"Retail Trade")</f>
        <v>Wholesale Trade</v>
      </c>
      <c r="E287" s="16">
        <v>70144</v>
      </c>
      <c r="F287">
        <v>154</v>
      </c>
      <c r="G287">
        <v>154</v>
      </c>
    </row>
    <row r="288" spans="1:7">
      <c r="A288" s="39">
        <v>45962</v>
      </c>
      <c r="B288" s="40">
        <f t="shared" si="4"/>
        <v>45962</v>
      </c>
      <c r="C288">
        <v>47</v>
      </c>
      <c r="D288" t="str" cm="1">
        <f t="array" ref="D288">_xlfn.IFS($C288=45,"Motor Vehicles &amp; Motorcycles",$C288=46,"Wholesale Trade",$C288=47,"Retail Trade")</f>
        <v>Retail Trade</v>
      </c>
      <c r="E288" s="16">
        <v>69015</v>
      </c>
      <c r="F288">
        <v>190</v>
      </c>
      <c r="G288">
        <v>190</v>
      </c>
    </row>
    <row r="289" spans="1:7">
      <c r="A289" s="39">
        <v>45992</v>
      </c>
      <c r="B289" s="40">
        <f t="shared" si="4"/>
        <v>45992</v>
      </c>
      <c r="C289">
        <v>45</v>
      </c>
      <c r="D289" t="str" cm="1">
        <f t="array" ref="D289">_xlfn.IFS($C289=45,"Motor Vehicles &amp; Motorcycles",$C289=46,"Wholesale Trade",$C289=47,"Retail Trade")</f>
        <v>Motor Vehicles &amp; Motorcycles</v>
      </c>
      <c r="E289" s="16">
        <v>22277</v>
      </c>
      <c r="F289">
        <v>162</v>
      </c>
      <c r="G289">
        <v>162</v>
      </c>
    </row>
    <row r="290" spans="1:7">
      <c r="A290" s="39">
        <v>45992</v>
      </c>
      <c r="B290" s="40">
        <f t="shared" si="4"/>
        <v>45992</v>
      </c>
      <c r="C290">
        <v>46</v>
      </c>
      <c r="D290" t="str" cm="1">
        <f t="array" ref="D290">_xlfn.IFS($C290=45,"Motor Vehicles &amp; Motorcycles",$C290=46,"Wholesale Trade",$C290=47,"Retail Trade")</f>
        <v>Wholesale Trade</v>
      </c>
      <c r="E290" s="16">
        <v>71067</v>
      </c>
      <c r="F290">
        <v>156</v>
      </c>
      <c r="G290">
        <v>156</v>
      </c>
    </row>
    <row r="291" spans="1:7">
      <c r="A291" s="39">
        <v>45992</v>
      </c>
      <c r="B291" s="40">
        <f t="shared" si="4"/>
        <v>45992</v>
      </c>
      <c r="C291">
        <v>47</v>
      </c>
      <c r="D291" t="str" cm="1">
        <f t="array" ref="D291">_xlfn.IFS($C291=45,"Motor Vehicles &amp; Motorcycles",$C291=46,"Wholesale Trade",$C291=47,"Retail Trade")</f>
        <v>Retail Trade</v>
      </c>
      <c r="E291" s="16">
        <v>70375</v>
      </c>
      <c r="F291">
        <v>193</v>
      </c>
      <c r="G291">
        <v>193</v>
      </c>
    </row>
    <row r="292" spans="1:7">
      <c r="A292" s="39">
        <v>46023</v>
      </c>
      <c r="B292" s="40">
        <f t="shared" si="4"/>
        <v>46023</v>
      </c>
      <c r="C292">
        <v>45</v>
      </c>
      <c r="D292" t="str" cm="1">
        <f t="array" ref="D292">_xlfn.IFS($C292=45,"Motor Vehicles &amp; Motorcycles",$C292=46,"Wholesale Trade",$C292=47,"Retail Trade")</f>
        <v>Motor Vehicles &amp; Motorcycles</v>
      </c>
      <c r="E292" s="16">
        <v>18780</v>
      </c>
      <c r="F292">
        <v>136</v>
      </c>
      <c r="G292">
        <v>136</v>
      </c>
    </row>
    <row r="293" spans="1:7">
      <c r="A293" s="39">
        <v>46023</v>
      </c>
      <c r="B293" s="40">
        <f t="shared" si="4"/>
        <v>46023</v>
      </c>
      <c r="C293">
        <v>46</v>
      </c>
      <c r="D293" t="str" cm="1">
        <f t="array" ref="D293">_xlfn.IFS($C293=45,"Motor Vehicles &amp; Motorcycles",$C293=46,"Wholesale Trade",$C293=47,"Retail Trade")</f>
        <v>Wholesale Trade</v>
      </c>
      <c r="E293" s="16">
        <v>70808</v>
      </c>
      <c r="F293">
        <v>155</v>
      </c>
      <c r="G293">
        <v>155</v>
      </c>
    </row>
    <row r="294" spans="1:7">
      <c r="A294" s="39">
        <v>46023</v>
      </c>
      <c r="B294" s="40">
        <f t="shared" si="4"/>
        <v>46023</v>
      </c>
      <c r="C294">
        <v>47</v>
      </c>
      <c r="D294" t="str" cm="1">
        <f t="array" ref="D294">_xlfn.IFS($C294=45,"Motor Vehicles &amp; Motorcycles",$C294=46,"Wholesale Trade",$C294=47,"Retail Trade")</f>
        <v>Retail Trade</v>
      </c>
      <c r="E294" s="16">
        <v>70182</v>
      </c>
      <c r="F294">
        <v>192</v>
      </c>
      <c r="G294">
        <v>192</v>
      </c>
    </row>
    <row r="295" spans="1:7">
      <c r="A295" s="39">
        <v>46054</v>
      </c>
      <c r="B295" s="40">
        <f t="shared" si="4"/>
        <v>46054</v>
      </c>
      <c r="C295">
        <v>45</v>
      </c>
      <c r="D295" t="str" cm="1">
        <f t="array" ref="D295">_xlfn.IFS($C295=45,"Motor Vehicles &amp; Motorcycles",$C295=46,"Wholesale Trade",$C295=47,"Retail Trade")</f>
        <v>Motor Vehicles &amp; Motorcycles</v>
      </c>
      <c r="E295" s="16">
        <v>16696</v>
      </c>
      <c r="F295">
        <v>121</v>
      </c>
      <c r="G295">
        <v>121</v>
      </c>
    </row>
    <row r="296" spans="1:7">
      <c r="A296" s="39">
        <v>46054</v>
      </c>
      <c r="B296" s="40">
        <f t="shared" si="4"/>
        <v>46054</v>
      </c>
      <c r="C296">
        <v>46</v>
      </c>
      <c r="D296" t="str" cm="1">
        <f t="array" ref="D296">_xlfn.IFS($C296=45,"Motor Vehicles &amp; Motorcycles",$C296=46,"Wholesale Trade",$C296=47,"Retail Trade")</f>
        <v>Wholesale Trade</v>
      </c>
      <c r="E296" s="16">
        <v>69528</v>
      </c>
      <c r="F296">
        <v>153</v>
      </c>
      <c r="G296">
        <v>153</v>
      </c>
    </row>
    <row r="297" spans="1:7">
      <c r="A297" s="39">
        <v>46054</v>
      </c>
      <c r="B297" s="40">
        <f t="shared" si="4"/>
        <v>46054</v>
      </c>
      <c r="C297">
        <v>47</v>
      </c>
      <c r="D297" t="str" cm="1">
        <f t="array" ref="D297">_xlfn.IFS($C297=45,"Motor Vehicles &amp; Motorcycles",$C297=46,"Wholesale Trade",$C297=47,"Retail Trade")</f>
        <v>Retail Trade</v>
      </c>
      <c r="E297" s="16">
        <v>70070</v>
      </c>
      <c r="F297">
        <v>191</v>
      </c>
      <c r="G297">
        <v>191</v>
      </c>
    </row>
    <row r="298" spans="1:7">
      <c r="A298" s="39">
        <v>46082</v>
      </c>
      <c r="B298" s="40">
        <f t="shared" si="4"/>
        <v>46082</v>
      </c>
      <c r="C298">
        <v>45</v>
      </c>
      <c r="D298" t="str" cm="1">
        <f t="array" ref="D298">_xlfn.IFS($C298=45,"Motor Vehicles &amp; Motorcycles",$C298=46,"Wholesale Trade",$C298=47,"Retail Trade")</f>
        <v>Motor Vehicles &amp; Motorcycles</v>
      </c>
      <c r="E298" s="16">
        <v>18640</v>
      </c>
      <c r="F298">
        <v>135</v>
      </c>
      <c r="G298">
        <v>135</v>
      </c>
    </row>
    <row r="299" spans="1:7">
      <c r="A299" s="39">
        <v>46082</v>
      </c>
      <c r="B299" s="40">
        <f t="shared" si="4"/>
        <v>46082</v>
      </c>
      <c r="C299">
        <v>46</v>
      </c>
      <c r="D299" t="str" cm="1">
        <f t="array" ref="D299">_xlfn.IFS($C299=45,"Motor Vehicles &amp; Motorcycles",$C299=46,"Wholesale Trade",$C299=47,"Retail Trade")</f>
        <v>Wholesale Trade</v>
      </c>
      <c r="E299" s="16">
        <v>78367</v>
      </c>
      <c r="F299">
        <v>157</v>
      </c>
      <c r="G299">
        <v>157</v>
      </c>
    </row>
    <row r="300" spans="1:7">
      <c r="A300" s="39">
        <v>46082</v>
      </c>
      <c r="B300" s="40">
        <f t="shared" si="4"/>
        <v>46082</v>
      </c>
      <c r="C300">
        <v>47</v>
      </c>
      <c r="D300" t="str" cm="1">
        <f t="array" ref="D300">_xlfn.IFS($C300=45,"Motor Vehicles &amp; Motorcycles",$C300=46,"Wholesale Trade",$C300=47,"Retail Trade")</f>
        <v>Retail Trade</v>
      </c>
      <c r="E300" s="16">
        <v>72009</v>
      </c>
      <c r="F300">
        <v>196</v>
      </c>
      <c r="G300">
        <v>196</v>
      </c>
    </row>
    <row r="301" spans="1:7">
      <c r="A301" s="39">
        <v>46113</v>
      </c>
      <c r="B301" s="40">
        <f t="shared" si="4"/>
        <v>46113</v>
      </c>
      <c r="C301">
        <v>45</v>
      </c>
      <c r="D301" t="str" cm="1">
        <f t="array" ref="D301">_xlfn.IFS($C301=45,"Motor Vehicles &amp; Motorcycles",$C301=46,"Wholesale Trade",$C301=47,"Retail Trade")</f>
        <v>Motor Vehicles &amp; Motorcycles</v>
      </c>
      <c r="E301" s="16">
        <v>20364</v>
      </c>
      <c r="F301">
        <v>148</v>
      </c>
      <c r="G301">
        <v>148</v>
      </c>
    </row>
    <row r="302" spans="1:7">
      <c r="A302" s="39">
        <v>46113</v>
      </c>
      <c r="B302" s="40">
        <f t="shared" si="4"/>
        <v>46113</v>
      </c>
      <c r="C302">
        <v>46</v>
      </c>
      <c r="D302" t="str" cm="1">
        <f t="array" ref="D302">_xlfn.IFS($C302=45,"Motor Vehicles &amp; Motorcycles",$C302=46,"Wholesale Trade",$C302=47,"Retail Trade")</f>
        <v>Wholesale Trade</v>
      </c>
      <c r="E302" s="16">
        <v>83534</v>
      </c>
      <c r="F302">
        <v>159</v>
      </c>
      <c r="G302">
        <v>159</v>
      </c>
    </row>
    <row r="303" spans="1:7">
      <c r="A303" s="39">
        <v>46113</v>
      </c>
      <c r="B303" s="40">
        <f t="shared" si="4"/>
        <v>46113</v>
      </c>
      <c r="C303">
        <v>47</v>
      </c>
      <c r="D303" t="str" cm="1">
        <f t="array" ref="D303">_xlfn.IFS($C303=45,"Motor Vehicles &amp; Motorcycles",$C303=46,"Wholesale Trade",$C303=47,"Retail Trade")</f>
        <v>Retail Trade</v>
      </c>
      <c r="E303" s="16">
        <v>70951</v>
      </c>
      <c r="F303">
        <v>192</v>
      </c>
      <c r="G303">
        <v>192</v>
      </c>
    </row>
    <row r="304" spans="1:7">
      <c r="A304" s="39">
        <v>46143</v>
      </c>
      <c r="B304" s="40">
        <f t="shared" si="4"/>
        <v>46143</v>
      </c>
      <c r="C304">
        <v>45</v>
      </c>
      <c r="D304" t="str" cm="1">
        <f t="array" ref="D304">_xlfn.IFS($C304=45,"Motor Vehicles &amp; Motorcycles",$C304=46,"Wholesale Trade",$C304=47,"Retail Trade")</f>
        <v>Motor Vehicles &amp; Motorcycles</v>
      </c>
      <c r="E304" s="16">
        <v>18632</v>
      </c>
      <c r="F304">
        <v>135</v>
      </c>
      <c r="G304">
        <v>135</v>
      </c>
    </row>
    <row r="305" spans="1:7">
      <c r="A305" s="39">
        <v>46143</v>
      </c>
      <c r="B305" s="40">
        <f t="shared" si="4"/>
        <v>46143</v>
      </c>
      <c r="C305">
        <v>46</v>
      </c>
      <c r="D305" t="str" cm="1">
        <f t="array" ref="D305">_xlfn.IFS($C305=45,"Motor Vehicles &amp; Motorcycles",$C305=46,"Wholesale Trade",$C305=47,"Retail Trade")</f>
        <v>Wholesale Trade</v>
      </c>
      <c r="E305" s="16">
        <v>80755</v>
      </c>
      <c r="F305">
        <v>155</v>
      </c>
      <c r="G305">
        <v>155</v>
      </c>
    </row>
    <row r="306" spans="1:7">
      <c r="A306" s="39">
        <v>46143</v>
      </c>
      <c r="B306" s="40">
        <f t="shared" si="4"/>
        <v>46143</v>
      </c>
      <c r="C306">
        <v>47</v>
      </c>
      <c r="D306" t="str" cm="1">
        <f t="array" ref="D306">_xlfn.IFS($C306=45,"Motor Vehicles &amp; Motorcycles",$C306=46,"Wholesale Trade",$C306=47,"Retail Trade")</f>
        <v>Retail Trade</v>
      </c>
      <c r="E306" s="16">
        <v>71896</v>
      </c>
      <c r="F306">
        <v>194</v>
      </c>
      <c r="G306">
        <v>194</v>
      </c>
    </row>
    <row r="307" spans="1:7">
      <c r="A307" s="39">
        <v>46174</v>
      </c>
      <c r="B307" s="40">
        <f t="shared" si="4"/>
        <v>46174</v>
      </c>
      <c r="C307">
        <v>45</v>
      </c>
      <c r="D307" t="str" cm="1">
        <f t="array" ref="D307">_xlfn.IFS($C307=45,"Motor Vehicles &amp; Motorcycles",$C307=46,"Wholesale Trade",$C307=47,"Retail Trade")</f>
        <v>Motor Vehicles &amp; Motorcycles</v>
      </c>
      <c r="E307" s="16">
        <v>19691</v>
      </c>
      <c r="F307">
        <v>143</v>
      </c>
      <c r="G307">
        <v>143</v>
      </c>
    </row>
    <row r="308" spans="1:7">
      <c r="A308" s="39">
        <v>46174</v>
      </c>
      <c r="B308" s="40">
        <f t="shared" si="4"/>
        <v>46174</v>
      </c>
      <c r="C308">
        <v>46</v>
      </c>
      <c r="D308" t="str" cm="1">
        <f t="array" ref="D308">_xlfn.IFS($C308=45,"Motor Vehicles &amp; Motorcycles",$C308=46,"Wholesale Trade",$C308=47,"Retail Trade")</f>
        <v>Wholesale Trade</v>
      </c>
      <c r="E308" s="16">
        <v>76787</v>
      </c>
      <c r="F308">
        <v>157</v>
      </c>
      <c r="G308">
        <v>157</v>
      </c>
    </row>
    <row r="309" spans="1:7">
      <c r="A309" s="39">
        <v>46174</v>
      </c>
      <c r="B309" s="40">
        <f t="shared" si="4"/>
        <v>46174</v>
      </c>
      <c r="C309">
        <v>47</v>
      </c>
      <c r="D309" t="str" cm="1">
        <f t="array" ref="D309">_xlfn.IFS($C309=45,"Motor Vehicles &amp; Motorcycles",$C309=46,"Wholesale Trade",$C309=47,"Retail Trade")</f>
        <v>Retail Trade</v>
      </c>
      <c r="E309" s="16">
        <v>72016</v>
      </c>
      <c r="F309">
        <v>195</v>
      </c>
      <c r="G309">
        <v>195</v>
      </c>
    </row>
  </sheetData>
  <pageMargins left="0.75" right="0.75" top="1" bottom="1" header="0.5" footer="0.5"/>
  <pageSetup paperSize="9" orientation="portrait"/>
  <headerFooter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71"/>
  <sheetViews>
    <sheetView tabSelected="1" zoomScaleSheetLayoutView="60" topLeftCell="A26" workbookViewId="0">
      <selection activeCell="F8" sqref="F8"/>
    </sheetView>
  </sheetViews>
  <sheetFormatPr defaultColWidth="8.72727272727273" defaultRowHeight="14.5" outlineLevelCol="6"/>
  <cols>
    <col min="1" max="1" width="29.6363636363636" customWidth="1"/>
    <col min="2" max="2" width="17.8181818181818" customWidth="1"/>
    <col min="3" max="3" width="16.1818181818182" customWidth="1"/>
    <col min="4" max="4" width="9.54545454545454" customWidth="1"/>
    <col min="5" max="5" width="12.2727272727273" customWidth="1"/>
    <col min="6" max="6" width="28.4545454545455" customWidth="1"/>
    <col min="7" max="7" width="23.4545454545455" customWidth="1"/>
    <col min="8" max="8" width="12.2727272727273"/>
    <col min="10" max="12" width="9.54545454545454"/>
  </cols>
  <sheetData>
    <row r="1" ht="23.5" spans="1:7">
      <c r="A1" s="1" t="s">
        <v>47</v>
      </c>
      <c r="B1" s="2"/>
      <c r="C1" s="2"/>
      <c r="D1" s="2"/>
      <c r="E1" s="2"/>
      <c r="F1" s="2"/>
      <c r="G1" s="3"/>
    </row>
    <row r="2" spans="1:7">
      <c r="A2" s="4" t="s">
        <v>48</v>
      </c>
      <c r="G2" s="5"/>
    </row>
    <row r="3" spans="1:7">
      <c r="A3" s="6"/>
      <c r="G3" s="5"/>
    </row>
    <row r="4" spans="1:7">
      <c r="A4" s="6"/>
      <c r="G4" s="5"/>
    </row>
    <row r="5" spans="1:7">
      <c r="A5" s="7"/>
      <c r="B5" s="8"/>
      <c r="C5" s="8"/>
      <c r="D5" s="8"/>
      <c r="E5" s="8"/>
      <c r="F5" s="8"/>
      <c r="G5" s="9"/>
    </row>
    <row r="6" ht="12" customHeight="1" spans="1:7">
      <c r="A6" s="7"/>
      <c r="B6" s="8"/>
      <c r="C6" s="8"/>
      <c r="D6" s="8"/>
      <c r="E6" s="8"/>
      <c r="F6" s="8"/>
      <c r="G6" s="9"/>
    </row>
    <row r="7" spans="1:7">
      <c r="A7" s="10">
        <f>SUM(F7,C7,G7)</f>
        <v>12986307</v>
      </c>
      <c r="B7" s="8"/>
      <c r="C7" s="11">
        <f>Sales_Analysis!C7</f>
        <v>1503371</v>
      </c>
      <c r="D7" s="12"/>
      <c r="E7" s="8"/>
      <c r="F7" s="13">
        <f>Sales_Analysis!C5</f>
        <v>6015431</v>
      </c>
      <c r="G7" s="14">
        <f>Sales_Analysis!C6</f>
        <v>5467505</v>
      </c>
    </row>
    <row r="8" spans="1:7">
      <c r="A8" s="15"/>
      <c r="C8" s="16"/>
      <c r="E8" s="16"/>
      <c r="G8" s="17"/>
    </row>
    <row r="9" ht="15.25" spans="1:7">
      <c r="A9" s="6"/>
      <c r="G9" s="5"/>
    </row>
    <row r="10" ht="23" customHeight="1" spans="1:7">
      <c r="A10" s="18" t="s">
        <v>49</v>
      </c>
      <c r="B10" s="19"/>
      <c r="C10" s="19"/>
      <c r="D10" s="19"/>
      <c r="E10" s="19"/>
      <c r="F10" s="19"/>
      <c r="G10" s="20"/>
    </row>
    <row r="11" ht="17" customHeight="1" spans="1:7">
      <c r="A11" s="21" t="s">
        <v>50</v>
      </c>
      <c r="B11" s="22" t="s">
        <v>51</v>
      </c>
      <c r="C11" s="22" t="s">
        <v>52</v>
      </c>
      <c r="G11" s="5"/>
    </row>
    <row r="12" ht="21" customHeight="1" spans="1:7">
      <c r="A12" s="23" t="s">
        <v>7</v>
      </c>
      <c r="B12" s="24">
        <f>_xlfn.XLOOKUP($A12,latest_growth_analysis!$C$5:$C$7,latest_growth_analysis!$D$5:$D$7)</f>
        <v>0.06</v>
      </c>
      <c r="C12" s="24">
        <f>_xlfn.XLOOKUP($A12,latest_growth_analysis!$C$12:$C$14,latest_growth_analysis!$D$12:$D$14)</f>
        <v>0.15</v>
      </c>
      <c r="G12" s="5"/>
    </row>
    <row r="13" ht="21" customHeight="1" spans="1:7">
      <c r="A13" s="23" t="s">
        <v>9</v>
      </c>
      <c r="B13" s="24">
        <f>_xlfn.XLOOKUP($A13,latest_growth_analysis!$C$5:$C$7,latest_growth_analysis!$D$5:$D$7)</f>
        <v>-0.05</v>
      </c>
      <c r="C13" s="24">
        <f>_xlfn.XLOOKUP($A13,latest_growth_analysis!$C$12:$C$14,latest_growth_analysis!$D$12:$D$14)</f>
        <v>0.12</v>
      </c>
      <c r="G13" s="5"/>
    </row>
    <row r="14" ht="19" customHeight="1" spans="1:7">
      <c r="A14" s="23" t="s">
        <v>8</v>
      </c>
      <c r="B14" s="24">
        <f>_xlfn.XLOOKUP($A14,latest_growth_analysis!$C$5:$C$7,latest_growth_analysis!$D$5:$D$7)</f>
        <v>0</v>
      </c>
      <c r="C14" s="24">
        <f>_xlfn.XLOOKUP($A14,latest_growth_analysis!$C$12:$C$14,latest_growth_analysis!$D$12:$D$14)</f>
        <v>0.07</v>
      </c>
      <c r="G14" s="5"/>
    </row>
    <row r="15" spans="1:7">
      <c r="A15" s="6"/>
      <c r="G15" s="5"/>
    </row>
    <row r="16" ht="15.25" spans="1:7">
      <c r="A16" s="6"/>
      <c r="G16" s="5"/>
    </row>
    <row r="17" ht="21" customHeight="1" spans="1:7">
      <c r="A17" s="25" t="s">
        <v>23</v>
      </c>
      <c r="B17" s="26"/>
      <c r="C17" s="27"/>
      <c r="D17" s="19" t="s">
        <v>53</v>
      </c>
      <c r="E17" s="19"/>
      <c r="F17" s="19"/>
      <c r="G17" s="20"/>
    </row>
    <row r="18" ht="15.25" spans="1:7">
      <c r="A18" s="6"/>
      <c r="C18" s="5"/>
      <c r="D18" s="28"/>
      <c r="G18" s="5"/>
    </row>
    <row r="19" spans="1:7">
      <c r="A19" s="6"/>
      <c r="C19" s="5"/>
      <c r="D19" s="28"/>
      <c r="G19" s="5"/>
    </row>
    <row r="20" spans="1:7">
      <c r="A20" s="6"/>
      <c r="C20" s="5"/>
      <c r="D20" s="28"/>
      <c r="G20" s="5"/>
    </row>
    <row r="21" spans="1:7">
      <c r="A21" s="6"/>
      <c r="C21" s="5"/>
      <c r="D21" s="28"/>
      <c r="G21" s="5"/>
    </row>
    <row r="22" spans="1:7">
      <c r="A22" s="6"/>
      <c r="C22" s="5"/>
      <c r="D22" s="28"/>
      <c r="G22" s="5"/>
    </row>
    <row r="23" spans="1:7">
      <c r="A23" s="6"/>
      <c r="C23" s="5"/>
      <c r="D23" s="28"/>
      <c r="G23" s="5"/>
    </row>
    <row r="24" spans="1:7">
      <c r="A24" s="6"/>
      <c r="C24" s="5"/>
      <c r="D24" s="28"/>
      <c r="G24" s="5"/>
    </row>
    <row r="25" spans="1:7">
      <c r="A25" s="6"/>
      <c r="C25" s="5"/>
      <c r="D25" s="28"/>
      <c r="G25" s="5"/>
    </row>
    <row r="26" spans="1:7">
      <c r="A26" s="6"/>
      <c r="C26" s="5"/>
      <c r="D26" s="28"/>
      <c r="G26" s="5"/>
    </row>
    <row r="27" spans="1:7">
      <c r="A27" s="6"/>
      <c r="C27" s="5"/>
      <c r="D27" s="28"/>
      <c r="G27" s="5"/>
    </row>
    <row r="28" spans="1:7">
      <c r="A28" s="6"/>
      <c r="C28" s="5"/>
      <c r="D28" s="28"/>
      <c r="G28" s="5"/>
    </row>
    <row r="29" spans="1:7">
      <c r="A29" s="6"/>
      <c r="C29" s="5"/>
      <c r="D29" s="28"/>
      <c r="G29" s="5"/>
    </row>
    <row r="30" spans="1:7">
      <c r="A30" s="6"/>
      <c r="C30" s="5"/>
      <c r="D30" s="28"/>
      <c r="G30" s="5"/>
    </row>
    <row r="31" spans="1:7">
      <c r="A31" s="6"/>
      <c r="C31" s="5"/>
      <c r="D31" s="28"/>
      <c r="G31" s="5"/>
    </row>
    <row r="32" ht="15.25" spans="1:7">
      <c r="A32" s="29"/>
      <c r="B32" s="30"/>
      <c r="C32" s="31"/>
      <c r="D32" s="30"/>
      <c r="E32" s="30"/>
      <c r="F32" s="30"/>
      <c r="G32" s="31"/>
    </row>
    <row r="33" ht="20" customHeight="1" spans="1:7">
      <c r="A33" s="18" t="s">
        <v>54</v>
      </c>
      <c r="B33" s="19"/>
      <c r="C33" s="19"/>
      <c r="D33" s="19"/>
      <c r="E33" s="19"/>
      <c r="F33" s="19"/>
      <c r="G33" s="20"/>
    </row>
    <row r="34" ht="15.25" spans="1:7">
      <c r="A34" s="6"/>
      <c r="G34" s="5"/>
    </row>
    <row r="35" spans="1:7">
      <c r="A35" s="6"/>
      <c r="G35" s="5"/>
    </row>
    <row r="36" spans="1:7">
      <c r="A36" s="6"/>
      <c r="F36" s="32" t="s">
        <v>55</v>
      </c>
      <c r="G36" s="5"/>
    </row>
    <row r="37" spans="1:7">
      <c r="A37" s="6"/>
      <c r="F37" t="s">
        <v>50</v>
      </c>
      <c r="G37" s="5" t="s">
        <v>56</v>
      </c>
    </row>
    <row r="38" spans="1:7">
      <c r="A38" s="6"/>
      <c r="F38" t="s">
        <v>7</v>
      </c>
      <c r="G38" s="5">
        <v>226130</v>
      </c>
    </row>
    <row r="39" spans="1:7">
      <c r="A39" s="6"/>
      <c r="F39" t="s">
        <v>8</v>
      </c>
      <c r="G39" s="5">
        <v>811512</v>
      </c>
    </row>
    <row r="40" spans="1:7">
      <c r="A40" s="6"/>
      <c r="F40" t="s">
        <v>9</v>
      </c>
      <c r="G40" s="5">
        <v>827367</v>
      </c>
    </row>
    <row r="41" spans="1:7">
      <c r="A41" s="6"/>
      <c r="F41" t="s">
        <v>10</v>
      </c>
      <c r="G41" s="5">
        <v>1865009</v>
      </c>
    </row>
    <row r="42" spans="1:7">
      <c r="A42" s="6"/>
      <c r="G42" s="5"/>
    </row>
    <row r="43" spans="1:7">
      <c r="A43" s="6"/>
      <c r="G43" s="5"/>
    </row>
    <row r="44" spans="1:7">
      <c r="A44" s="6"/>
      <c r="G44" s="5"/>
    </row>
    <row r="45" ht="15.25" spans="1:7">
      <c r="A45" s="6"/>
      <c r="G45" s="5"/>
    </row>
    <row r="46" ht="20" customHeight="1" spans="1:7">
      <c r="A46" s="18" t="s">
        <v>57</v>
      </c>
      <c r="B46" s="19"/>
      <c r="C46" s="19"/>
      <c r="D46" s="19"/>
      <c r="E46" s="19"/>
      <c r="F46" s="19"/>
      <c r="G46" s="20"/>
    </row>
    <row r="47" ht="15.25" spans="1:7">
      <c r="A47" s="6" t="s">
        <v>58</v>
      </c>
      <c r="G47" s="5"/>
    </row>
    <row r="48" spans="1:7">
      <c r="A48" s="6"/>
      <c r="G48" s="5"/>
    </row>
    <row r="49" spans="1:7">
      <c r="A49" s="6"/>
      <c r="G49" s="5"/>
    </row>
    <row r="50" spans="1:7">
      <c r="A50" s="6"/>
      <c r="G50" s="5"/>
    </row>
    <row r="51" spans="1:7">
      <c r="A51" s="6"/>
      <c r="G51" s="5"/>
    </row>
    <row r="52" spans="1:7">
      <c r="A52" s="6"/>
      <c r="G52" s="5"/>
    </row>
    <row r="53" spans="1:7">
      <c r="A53" s="6"/>
      <c r="G53" s="5"/>
    </row>
    <row r="54" spans="1:7">
      <c r="A54" s="6"/>
      <c r="G54" s="5"/>
    </row>
    <row r="55" spans="1:7">
      <c r="A55" s="6"/>
      <c r="G55" s="5"/>
    </row>
    <row r="56" spans="1:7">
      <c r="A56" s="6"/>
      <c r="G56" s="5"/>
    </row>
    <row r="57" spans="1:7">
      <c r="A57" s="6"/>
      <c r="G57" s="5"/>
    </row>
    <row r="58" spans="1:7">
      <c r="A58" s="6"/>
      <c r="G58" s="5"/>
    </row>
    <row r="59" spans="1:7">
      <c r="A59" s="6"/>
      <c r="G59" s="5"/>
    </row>
    <row r="60" spans="1:7">
      <c r="A60" s="6"/>
      <c r="G60" s="5"/>
    </row>
    <row r="61" spans="1:7">
      <c r="A61" s="6"/>
      <c r="G61" s="5"/>
    </row>
    <row r="62" spans="1:7">
      <c r="A62" s="6"/>
      <c r="G62" s="5"/>
    </row>
    <row r="63" spans="1:7">
      <c r="A63" s="6"/>
      <c r="G63" s="5"/>
    </row>
    <row r="64" ht="15.25" spans="1:7">
      <c r="A64" s="6"/>
      <c r="G64" s="5"/>
    </row>
    <row r="65" ht="23" customHeight="1" spans="1:7">
      <c r="A65" s="18" t="s">
        <v>59</v>
      </c>
      <c r="B65" s="19"/>
      <c r="C65" s="19"/>
      <c r="D65" s="19"/>
      <c r="E65" s="19"/>
      <c r="F65" s="19"/>
      <c r="G65" s="20"/>
    </row>
    <row r="66" ht="15.25" spans="1:7">
      <c r="A66" s="6"/>
      <c r="G66" s="5"/>
    </row>
    <row r="67" ht="17" customHeight="1" spans="1:7">
      <c r="A67" s="6" t="s">
        <v>50</v>
      </c>
      <c r="B67" s="33" t="s">
        <v>60</v>
      </c>
      <c r="C67" s="33" t="s">
        <v>61</v>
      </c>
      <c r="D67" s="33" t="s">
        <v>62</v>
      </c>
      <c r="G67" s="5"/>
    </row>
    <row r="68" ht="21" customHeight="1" spans="1:7">
      <c r="A68" s="23" t="s">
        <v>9</v>
      </c>
      <c r="B68" s="34">
        <v>58974.8137</v>
      </c>
      <c r="C68" s="34">
        <v>37694</v>
      </c>
      <c r="D68" s="34">
        <v>83534</v>
      </c>
      <c r="G68" s="5"/>
    </row>
    <row r="69" ht="21" customHeight="1" spans="1:7">
      <c r="A69" s="23" t="s">
        <v>8</v>
      </c>
      <c r="B69" s="34">
        <v>53602.9902</v>
      </c>
      <c r="C69" s="34">
        <v>28320</v>
      </c>
      <c r="D69" s="34">
        <v>72016</v>
      </c>
      <c r="G69" s="5"/>
    </row>
    <row r="70" ht="20" customHeight="1" spans="1:7">
      <c r="A70" s="23" t="s">
        <v>7</v>
      </c>
      <c r="B70" s="34">
        <v>14738.9314</v>
      </c>
      <c r="C70" s="34">
        <v>838</v>
      </c>
      <c r="D70" s="34">
        <v>22277</v>
      </c>
      <c r="G70" s="5"/>
    </row>
    <row r="71" ht="15.25" spans="1:7">
      <c r="A71" s="35"/>
      <c r="B71" s="36"/>
      <c r="C71" s="36"/>
      <c r="D71" s="36"/>
      <c r="E71" s="36"/>
      <c r="F71" s="36"/>
      <c r="G71" s="37"/>
    </row>
  </sheetData>
  <mergeCells count="7">
    <mergeCell ref="A1:G1"/>
    <mergeCell ref="A10:G10"/>
    <mergeCell ref="A17:C17"/>
    <mergeCell ref="D17:G17"/>
    <mergeCell ref="A33:G33"/>
    <mergeCell ref="A46:G46"/>
    <mergeCell ref="A65:G65"/>
  </mergeCells>
  <pageMargins left="0.751388888888889" right="0.751388888888889" top="1" bottom="1" header="0.5" footer="0.5"/>
  <pageSetup paperSize="9" scale="62" orientation="portrait" horizontalDpi="600"/>
  <headerFooter/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82ed804-6c99-4d8e-b629-f4dfcdfc849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0.000001</xm:f>
              </x14:cfvo>
            </x14:iconSet>
          </x14:cfRule>
          <xm:sqref>B12:C14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2025_Monthly_Sales_Trend</vt:lpstr>
      <vt:lpstr>Sales Trend by Year</vt:lpstr>
      <vt:lpstr>Sales_Analysis</vt:lpstr>
      <vt:lpstr>latest_growth_analysis</vt:lpstr>
      <vt:lpstr>Volume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</dc:creator>
  <cp:lastModifiedBy>alice 111</cp:lastModifiedBy>
  <dcterms:created xsi:type="dcterms:W3CDTF">2026-08-30T06:09:00Z</dcterms:created>
  <dcterms:modified xsi:type="dcterms:W3CDTF">2026-08-31T07:00:06Z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C584AC4065A3440BA3B9C80DB4C9C35C_11</vt:lpwstr>
  </property>
  <property fmtid="{D5CDD505-2E9C-101B-9397-08002B2CF9AE}" pid="3" name="KSOProductBuildVer">
    <vt:lpwstr>1033-12.2.0.23206</vt:lpwstr>
  </property>
  <property fmtid="{D5CDD505-2E9C-101B-9397-08002B2CF9AE}" pid="4" name="KSOReadingLayout">
    <vt:bool>false</vt:bool>
  </property>
</Properties>
</file>